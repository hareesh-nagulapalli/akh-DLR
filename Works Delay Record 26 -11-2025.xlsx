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11760" activeTab="1"/>
  </bookViews>
  <sheets>
    <sheet name="Tower -B" sheetId="6" r:id="rId1"/>
    <sheet name="T-B Manpower Details" sheetId="7" r:id="rId2"/>
    <sheet name="Tower-C" sheetId="3" r:id="rId3"/>
    <sheet name="T-C manpower details" sheetId="4" r:id="rId4"/>
  </sheets>
  <definedNames>
    <definedName name="_xlnm.Print_Area" localSheetId="1">'T-B Manpower Details'!$A$2:$IY$22</definedName>
    <definedName name="_xlnm.Print_Area" localSheetId="3">'T-C manpower details'!$B$2:$CF$21</definedName>
    <definedName name="_xlnm.Print_Area" localSheetId="0">'Tower -B'!$B$2:$I$82</definedName>
    <definedName name="_xlnm.Print_Area" localSheetId="2">'Tower-C'!$A$1:$H$70</definedName>
  </definedNames>
  <calcPr calcId="144525"/>
</workbook>
</file>

<file path=xl/calcChain.xml><?xml version="1.0" encoding="utf-8"?>
<calcChain xmlns="http://schemas.openxmlformats.org/spreadsheetml/2006/main">
  <c r="EM5" i="7" l="1"/>
  <c r="EN5" i="7" s="1"/>
  <c r="EO5" i="7" s="1"/>
  <c r="EP5" i="7" s="1"/>
  <c r="EQ5" i="7" s="1"/>
  <c r="ER5" i="7" s="1"/>
  <c r="ES5" i="7" s="1"/>
  <c r="ET5" i="7" s="1"/>
  <c r="EF5" i="7"/>
  <c r="EG5" i="7"/>
  <c r="EH5" i="7" s="1"/>
  <c r="EI5" i="7" s="1"/>
  <c r="EJ5" i="7" s="1"/>
  <c r="EK5" i="7" s="1"/>
  <c r="EL5" i="7" s="1"/>
  <c r="EA5" i="7"/>
  <c r="EB5" i="7" s="1"/>
  <c r="EC5" i="7" s="1"/>
  <c r="ED5" i="7" s="1"/>
  <c r="EE5" i="7" s="1"/>
  <c r="DU5" i="7"/>
  <c r="DV5" i="7" s="1"/>
  <c r="DW5" i="7" s="1"/>
  <c r="DX5" i="7" s="1"/>
  <c r="DY5" i="7" s="1"/>
  <c r="DZ5" i="7" s="1"/>
  <c r="D20" i="7"/>
  <c r="EB21" i="4" l="1"/>
  <c r="EC21" i="4"/>
  <c r="ED21" i="4"/>
  <c r="EE21" i="4"/>
  <c r="EF21" i="4"/>
  <c r="EG21" i="4"/>
  <c r="DY21" i="4"/>
  <c r="DZ21" i="4"/>
  <c r="EA21" i="4"/>
  <c r="EB5" i="4"/>
  <c r="EC5" i="4" s="1"/>
  <c r="ED5" i="4" s="1"/>
  <c r="EE5" i="4" s="1"/>
  <c r="EF5" i="4" s="1"/>
  <c r="EG5" i="4" s="1"/>
  <c r="EH5" i="4" s="1"/>
  <c r="EI5" i="4" s="1"/>
  <c r="EJ5" i="4" s="1"/>
  <c r="EK5" i="4" s="1"/>
  <c r="EL5" i="4" s="1"/>
  <c r="EM5" i="4" s="1"/>
  <c r="EN5" i="4" s="1"/>
  <c r="EO5" i="4" s="1"/>
  <c r="EP5" i="4" s="1"/>
  <c r="DY5" i="4" l="1"/>
  <c r="DZ5" i="4" s="1"/>
  <c r="EA5" i="4" s="1"/>
  <c r="DU21" i="4" l="1"/>
  <c r="DV21" i="4"/>
  <c r="DW21" i="4"/>
  <c r="DX21" i="4"/>
  <c r="DG21" i="4" l="1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H5" i="4" l="1"/>
  <c r="DI5" i="4" s="1"/>
  <c r="DJ5" i="4" s="1"/>
  <c r="DK5" i="4" s="1"/>
  <c r="DL5" i="4" s="1"/>
  <c r="DM5" i="4" s="1"/>
  <c r="DN5" i="4" s="1"/>
  <c r="DO5" i="4" s="1"/>
  <c r="DP5" i="4" s="1"/>
  <c r="DQ5" i="4" s="1"/>
  <c r="DR5" i="4" s="1"/>
  <c r="DS5" i="4" s="1"/>
  <c r="DT5" i="4" s="1"/>
  <c r="DU5" i="4" s="1"/>
  <c r="DV5" i="4" s="1"/>
  <c r="DW5" i="4" s="1"/>
  <c r="DX5" i="4" s="1"/>
  <c r="DF21" i="4" l="1"/>
  <c r="DD21" i="4"/>
  <c r="DE21" i="4"/>
  <c r="DC5" i="4" l="1"/>
  <c r="DD5" i="4" s="1"/>
  <c r="DE5" i="4" s="1"/>
  <c r="DF5" i="4" s="1"/>
  <c r="DG5" i="4" s="1"/>
  <c r="CU21" i="4"/>
  <c r="CV21" i="4"/>
  <c r="CW21" i="4"/>
  <c r="CX21" i="4"/>
  <c r="CY21" i="4"/>
  <c r="CZ21" i="4"/>
  <c r="DA21" i="4"/>
  <c r="DB21" i="4"/>
  <c r="DC21" i="4"/>
  <c r="CZ5" i="4"/>
  <c r="DA5" i="4" s="1"/>
  <c r="DB5" i="4" s="1"/>
  <c r="CY5" i="4" l="1"/>
  <c r="CX5" i="4"/>
  <c r="CU5" i="4" l="1"/>
  <c r="CV5" i="4" s="1"/>
  <c r="CW5" i="4" s="1"/>
  <c r="CQ21" i="4" l="1"/>
  <c r="CR21" i="4"/>
  <c r="CS21" i="4"/>
  <c r="CT21" i="4"/>
  <c r="CQ5" i="4"/>
  <c r="CR5" i="4" s="1"/>
  <c r="CS5" i="4" s="1"/>
  <c r="CT5" i="4" s="1"/>
  <c r="CG21" i="4" l="1"/>
  <c r="CH21" i="4"/>
  <c r="CI21" i="4"/>
  <c r="CJ21" i="4"/>
  <c r="CK21" i="4"/>
  <c r="CL21" i="4"/>
  <c r="CM21" i="4"/>
  <c r="CN21" i="4"/>
  <c r="CO21" i="4"/>
  <c r="CP21" i="4"/>
  <c r="CG5" i="4"/>
  <c r="CH5" i="4" s="1"/>
  <c r="CI5" i="4" s="1"/>
  <c r="CJ5" i="4" s="1"/>
  <c r="CK5" i="4" s="1"/>
  <c r="CL5" i="4" s="1"/>
  <c r="CM5" i="4" s="1"/>
  <c r="CN5" i="4" s="1"/>
  <c r="CO5" i="4" s="1"/>
  <c r="CP5" i="4" s="1"/>
  <c r="E24" i="3"/>
  <c r="E25" i="3"/>
  <c r="E22" i="3"/>
  <c r="E23" i="3"/>
  <c r="E21" i="3"/>
  <c r="E18" i="3"/>
  <c r="E19" i="3"/>
  <c r="E20" i="3"/>
  <c r="D22" i="7" l="1"/>
  <c r="CH22" i="7"/>
  <c r="CG22" i="7"/>
  <c r="CF22" i="7"/>
  <c r="CE22" i="7"/>
  <c r="CD22" i="7"/>
  <c r="CC22" i="7"/>
  <c r="CB22" i="7"/>
  <c r="CA22" i="7"/>
  <c r="BZ22" i="7"/>
  <c r="BY22" i="7"/>
  <c r="BX22" i="7"/>
  <c r="BW22" i="7"/>
  <c r="BV22" i="7"/>
  <c r="BU22" i="7"/>
  <c r="H79" i="6"/>
  <c r="H78" i="6"/>
  <c r="E58" i="6"/>
  <c r="E54" i="6"/>
  <c r="E53" i="6"/>
  <c r="BP22" i="7" l="1"/>
  <c r="BQ22" i="7"/>
  <c r="BR22" i="7"/>
  <c r="BS22" i="7"/>
  <c r="BT22" i="7"/>
  <c r="BO22" i="7"/>
  <c r="BN4" i="7"/>
  <c r="BO5" i="7"/>
  <c r="BP5" i="7" s="1"/>
  <c r="BQ5" i="7" s="1"/>
  <c r="BR5" i="7" s="1"/>
  <c r="BS5" i="7" s="1"/>
  <c r="BT5" i="7" s="1"/>
  <c r="BU5" i="7" s="1"/>
  <c r="BV5" i="7" s="1"/>
  <c r="BW5" i="7" s="1"/>
  <c r="BX5" i="7" s="1"/>
  <c r="BY5" i="7" s="1"/>
  <c r="BZ5" i="7" s="1"/>
  <c r="CA5" i="7" s="1"/>
  <c r="CB5" i="7" s="1"/>
  <c r="CC5" i="7" s="1"/>
  <c r="CD5" i="7" s="1"/>
  <c r="CE5" i="7" s="1"/>
  <c r="CF5" i="7" s="1"/>
  <c r="CG5" i="7" s="1"/>
  <c r="CH5" i="7" s="1"/>
  <c r="CI5" i="7" s="1"/>
  <c r="CJ5" i="7" s="1"/>
  <c r="CK5" i="7" s="1"/>
  <c r="CL5" i="7" s="1"/>
  <c r="CM5" i="7" s="1"/>
  <c r="CN5" i="7" s="1"/>
  <c r="CO5" i="7" s="1"/>
  <c r="CP5" i="7" s="1"/>
  <c r="CQ5" i="7" s="1"/>
  <c r="CR5" i="7" s="1"/>
  <c r="CS5" i="7" s="1"/>
  <c r="CT5" i="7" s="1"/>
  <c r="CU5" i="7" s="1"/>
  <c r="CV5" i="7" s="1"/>
  <c r="CW5" i="7" s="1"/>
  <c r="CX5" i="7" s="1"/>
  <c r="CY5" i="7" s="1"/>
  <c r="CZ5" i="7" s="1"/>
  <c r="DA5" i="7" s="1"/>
  <c r="DB5" i="7" s="1"/>
  <c r="DC5" i="7" s="1"/>
  <c r="DD5" i="7" s="1"/>
  <c r="DE5" i="7" s="1"/>
  <c r="DF5" i="7" s="1"/>
  <c r="DG5" i="7" s="1"/>
  <c r="DH5" i="7" s="1"/>
  <c r="DI5" i="7" s="1"/>
  <c r="DJ5" i="7" s="1"/>
  <c r="DK5" i="7" s="1"/>
  <c r="DL5" i="7" s="1"/>
  <c r="DM5" i="7" s="1"/>
  <c r="DN5" i="7" s="1"/>
  <c r="DO5" i="7" s="1"/>
  <c r="DP5" i="7" s="1"/>
  <c r="DQ5" i="7" s="1"/>
  <c r="DR5" i="7" s="1"/>
  <c r="DS5" i="7" s="1"/>
  <c r="DT5" i="7" s="1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H77" i="6" l="1"/>
  <c r="E17" i="3" l="1"/>
  <c r="E16" i="3"/>
  <c r="F5" i="7"/>
  <c r="G5" i="7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E22" i="7"/>
  <c r="E46" i="6"/>
  <c r="H46" i="6" s="1"/>
  <c r="E47" i="6"/>
  <c r="H47" i="6" s="1"/>
  <c r="E48" i="6"/>
  <c r="H48" i="6" s="1"/>
  <c r="E49" i="6"/>
  <c r="H49" i="6" s="1"/>
  <c r="E50" i="6"/>
  <c r="H50" i="6" s="1"/>
  <c r="E51" i="6"/>
  <c r="H51" i="6" s="1"/>
  <c r="E52" i="6"/>
  <c r="H52" i="6" s="1"/>
  <c r="E55" i="6"/>
  <c r="E56" i="6"/>
  <c r="E57" i="6"/>
  <c r="E60" i="6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12" i="6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H12" i="6"/>
  <c r="E43" i="6"/>
  <c r="E44" i="6"/>
  <c r="E25" i="6" l="1"/>
  <c r="H24" i="6"/>
  <c r="H13" i="6"/>
  <c r="E26" i="6" l="1"/>
  <c r="H25" i="6"/>
  <c r="H14" i="6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BQ21" i="4"/>
  <c r="BR21" i="4"/>
  <c r="E27" i="6" l="1"/>
  <c r="H26" i="6"/>
  <c r="H15" i="6"/>
  <c r="BN21" i="4"/>
  <c r="BO21" i="4"/>
  <c r="BP21" i="4"/>
  <c r="E28" i="6" l="1"/>
  <c r="H27" i="6"/>
  <c r="H16" i="6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F5" i="4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BP5" i="4" s="1"/>
  <c r="BQ5" i="4" s="1"/>
  <c r="BR5" i="4" s="1"/>
  <c r="BS5" i="4" s="1"/>
  <c r="BT5" i="4" s="1"/>
  <c r="BU5" i="4" s="1"/>
  <c r="BV5" i="4" s="1"/>
  <c r="BW5" i="4" s="1"/>
  <c r="BX5" i="4" s="1"/>
  <c r="BY5" i="4" s="1"/>
  <c r="BZ5" i="4" s="1"/>
  <c r="CA5" i="4" s="1"/>
  <c r="CB5" i="4" s="1"/>
  <c r="CC5" i="4" s="1"/>
  <c r="CD5" i="4" s="1"/>
  <c r="CE5" i="4" s="1"/>
  <c r="CF5" i="4" s="1"/>
  <c r="E66" i="3"/>
  <c r="E65" i="3"/>
  <c r="E34" i="3"/>
  <c r="G34" i="3" s="1"/>
  <c r="E28" i="3"/>
  <c r="E29" i="3" s="1"/>
  <c r="E15" i="3"/>
  <c r="E14" i="3"/>
  <c r="G14" i="3" s="1"/>
  <c r="E13" i="3"/>
  <c r="G13" i="3" s="1"/>
  <c r="E12" i="3"/>
  <c r="G12" i="3" s="1"/>
  <c r="E11" i="3"/>
  <c r="E10" i="3"/>
  <c r="E9" i="3"/>
  <c r="G9" i="3" s="1"/>
  <c r="E8" i="3"/>
  <c r="G8" i="3" s="1"/>
  <c r="G7" i="3"/>
  <c r="E6" i="3"/>
  <c r="G6" i="3" s="1"/>
  <c r="E29" i="6" l="1"/>
  <c r="H28" i="6"/>
  <c r="H17" i="6"/>
  <c r="E35" i="3"/>
  <c r="E36" i="3" s="1"/>
  <c r="E37" i="3" s="1"/>
  <c r="E30" i="6" l="1"/>
  <c r="H29" i="6"/>
  <c r="H18" i="6"/>
  <c r="E38" i="3"/>
  <c r="G37" i="3"/>
  <c r="G35" i="3"/>
  <c r="G36" i="3"/>
  <c r="E31" i="6" l="1"/>
  <c r="H30" i="6"/>
  <c r="H19" i="6"/>
  <c r="E39" i="3"/>
  <c r="G38" i="3"/>
  <c r="E32" i="6" l="1"/>
  <c r="E33" i="6" s="1"/>
  <c r="E34" i="6" s="1"/>
  <c r="E35" i="6" s="1"/>
  <c r="E36" i="6" s="1"/>
  <c r="E37" i="6" s="1"/>
  <c r="E38" i="6" s="1"/>
  <c r="E39" i="6" s="1"/>
  <c r="E40" i="6" s="1"/>
  <c r="E41" i="6" s="1"/>
  <c r="H31" i="6"/>
  <c r="H20" i="6"/>
  <c r="E40" i="3"/>
  <c r="G39" i="3"/>
  <c r="H21" i="6" l="1"/>
  <c r="E41" i="3"/>
  <c r="G40" i="3"/>
  <c r="H22" i="6" l="1"/>
  <c r="E42" i="3"/>
  <c r="G41" i="3"/>
  <c r="H23" i="6" l="1"/>
  <c r="E43" i="3"/>
  <c r="G42" i="3"/>
  <c r="E44" i="3" l="1"/>
  <c r="G43" i="3"/>
  <c r="E45" i="3" l="1"/>
  <c r="G44" i="3"/>
  <c r="E46" i="3" l="1"/>
  <c r="G45" i="3"/>
  <c r="E47" i="3" l="1"/>
  <c r="G46" i="3"/>
  <c r="E48" i="3" l="1"/>
  <c r="G47" i="3"/>
  <c r="E49" i="3" l="1"/>
  <c r="G48" i="3"/>
  <c r="E50" i="3" l="1"/>
  <c r="G49" i="3"/>
  <c r="E51" i="3" l="1"/>
  <c r="G50" i="3"/>
  <c r="E52" i="3" l="1"/>
  <c r="G51" i="3"/>
  <c r="E53" i="3" l="1"/>
  <c r="G52" i="3"/>
  <c r="E54" i="3" l="1"/>
  <c r="G53" i="3"/>
  <c r="E55" i="3" l="1"/>
  <c r="E56" i="3" s="1"/>
  <c r="E57" i="3" s="1"/>
  <c r="E58" i="3" s="1"/>
  <c r="E59" i="3" s="1"/>
  <c r="E60" i="3" s="1"/>
  <c r="E61" i="3" s="1"/>
  <c r="E62" i="3" s="1"/>
  <c r="E63" i="3" s="1"/>
  <c r="G54" i="3"/>
</calcChain>
</file>

<file path=xl/sharedStrings.xml><?xml version="1.0" encoding="utf-8"?>
<sst xmlns="http://schemas.openxmlformats.org/spreadsheetml/2006/main" count="388" uniqueCount="145">
  <si>
    <t>Contractor : Dayakar electricals</t>
  </si>
  <si>
    <t>Sl.No</t>
  </si>
  <si>
    <t>Activity</t>
  </si>
  <si>
    <t>Date of Clearance Given</t>
  </si>
  <si>
    <t>Planned/ Committed Completion Date</t>
  </si>
  <si>
    <t>Actual Completion Date</t>
  </si>
  <si>
    <t>Days of Delay</t>
  </si>
  <si>
    <t>Remarks</t>
  </si>
  <si>
    <t>I.</t>
  </si>
  <si>
    <t>Switboards&amp; Light Fixtures Eraction :</t>
  </si>
  <si>
    <t>Unit -301</t>
  </si>
  <si>
    <t>Unit -302</t>
  </si>
  <si>
    <t>Unit -303</t>
  </si>
  <si>
    <t>II.</t>
  </si>
  <si>
    <t>MAEDB Installation&amp; Terminations :</t>
  </si>
  <si>
    <t>Not Started</t>
  </si>
  <si>
    <t>III.</t>
  </si>
  <si>
    <t>Common area Board Closing Clearance :</t>
  </si>
  <si>
    <t>3rd Floor Corridor</t>
  </si>
  <si>
    <t>4th Floor Corridor</t>
  </si>
  <si>
    <t>5th Floor Corridor</t>
  </si>
  <si>
    <t>6th Floor Corridor</t>
  </si>
  <si>
    <t>-</t>
  </si>
  <si>
    <t>7th Floor Corridor</t>
  </si>
  <si>
    <t>8th Floor Corrdor</t>
  </si>
  <si>
    <t>9th Floor Corrdor</t>
  </si>
  <si>
    <t>IV.</t>
  </si>
  <si>
    <t>Staircase Circuit Wiring</t>
  </si>
  <si>
    <t>Fire Staircase</t>
  </si>
  <si>
    <t>General Staircase</t>
  </si>
  <si>
    <t>V.</t>
  </si>
  <si>
    <t>Flat Internal Board Closing :</t>
  </si>
  <si>
    <t>Floor</t>
  </si>
  <si>
    <t>QC Check Dt.</t>
  </si>
  <si>
    <t>Snag Completion Dt.</t>
  </si>
  <si>
    <t>Delay (Days)</t>
  </si>
  <si>
    <t>27th Floor</t>
  </si>
  <si>
    <t>28th Floor</t>
  </si>
  <si>
    <t>29th Floor</t>
  </si>
  <si>
    <t>WIP</t>
  </si>
  <si>
    <t>Critical Issues</t>
  </si>
  <si>
    <t>Staircase Circuit Wiring Not started till now in both towers ( Asper Commitments it is to be started by 25-10-2025. But Still Not Engaged.</t>
  </si>
  <si>
    <t>Contractor : Dayakar Electricals</t>
  </si>
  <si>
    <t>List Of Activitys</t>
  </si>
  <si>
    <t xml:space="preserve">Present Manpower Requirement ( No's ) </t>
  </si>
  <si>
    <t>Common Area Wiring (upto 14th Floor)</t>
  </si>
  <si>
    <t>Common Area Wiring (15th floor &amp; Above)</t>
  </si>
  <si>
    <t>Switch Boards Eraction</t>
  </si>
  <si>
    <t>MAEDB Installation (informed to start on 20-11-25)</t>
  </si>
  <si>
    <t>Internal Flase ceiling Clearance</t>
  </si>
  <si>
    <t>1st Floor Wiring</t>
  </si>
  <si>
    <t>Planter Footlamp back box Fixing&amp; Alignment</t>
  </si>
  <si>
    <t>Theft Circuits Laying</t>
  </si>
  <si>
    <t>Misclaneous Works Below :</t>
  </si>
  <si>
    <t>External LPS Conductor Laying</t>
  </si>
  <si>
    <t>Basement Wall Conduit</t>
  </si>
  <si>
    <t>Lifts Pending Works</t>
  </si>
  <si>
    <t>Total Manpower</t>
  </si>
  <si>
    <t>Works Delay Record Tower -C As on Dt. 26-11-2025</t>
  </si>
  <si>
    <t>Unit -501</t>
  </si>
  <si>
    <t>Unit -502</t>
  </si>
  <si>
    <t>Unit -503</t>
  </si>
  <si>
    <t>Unit -402</t>
  </si>
  <si>
    <t>Unit -403</t>
  </si>
  <si>
    <t>Unit -401</t>
  </si>
  <si>
    <t>Unit -603</t>
  </si>
  <si>
    <t xml:space="preserve">3rd Floor </t>
  </si>
  <si>
    <t xml:space="preserve">5th Floor </t>
  </si>
  <si>
    <t>Common area Board Closing :</t>
  </si>
  <si>
    <t>10th Floor Corrdor</t>
  </si>
  <si>
    <t>manpower not engaged yet</t>
  </si>
  <si>
    <t xml:space="preserve">Insufficient Manpower </t>
  </si>
  <si>
    <t xml:space="preserve">Tower -C Manpower Details For The Month of Nov -2025. </t>
  </si>
  <si>
    <t xml:space="preserve">Light fixtures installation </t>
  </si>
  <si>
    <t xml:space="preserve"> </t>
  </si>
  <si>
    <t>Light markings</t>
  </si>
  <si>
    <t>AC units Socket installation</t>
  </si>
  <si>
    <t>Unit -703</t>
  </si>
  <si>
    <t>Unit -702</t>
  </si>
  <si>
    <t>Unit -601</t>
  </si>
  <si>
    <t>Unit -602</t>
  </si>
  <si>
    <t>Unit -701</t>
  </si>
  <si>
    <t xml:space="preserve">FAPA conduit blockage rectification </t>
  </si>
  <si>
    <t>November</t>
  </si>
  <si>
    <t>December</t>
  </si>
  <si>
    <t>January</t>
  </si>
  <si>
    <t>20th Floor Corrdor</t>
  </si>
  <si>
    <t>19th Floor Corrdor</t>
  </si>
  <si>
    <t>18th Floor Corrdor</t>
  </si>
  <si>
    <t>17th Floor Corrdor</t>
  </si>
  <si>
    <t>16th Floor Corrdor</t>
  </si>
  <si>
    <t>15th Floor Corrdor</t>
  </si>
  <si>
    <t>14th Floor Corrdor</t>
  </si>
  <si>
    <t>13th Floor Corrdor</t>
  </si>
  <si>
    <t>12th Floor Corrdor</t>
  </si>
  <si>
    <t>11th Floor Corrdor</t>
  </si>
  <si>
    <t>Work in Progress</t>
  </si>
  <si>
    <t>Tower -B Manpower Details</t>
  </si>
  <si>
    <t>21st Floor Corrdor</t>
  </si>
  <si>
    <t>22nd Floor Corrdor</t>
  </si>
  <si>
    <t>23rd Floor Corrdor</t>
  </si>
  <si>
    <t>24th Floor Corrdor</t>
  </si>
  <si>
    <t>25th Floor Corrdor</t>
  </si>
  <si>
    <t>26th Floor Corrdor</t>
  </si>
  <si>
    <t xml:space="preserve">4th Floor </t>
  </si>
  <si>
    <t xml:space="preserve">6th Floor </t>
  </si>
  <si>
    <t xml:space="preserve">7th Floor </t>
  </si>
  <si>
    <t xml:space="preserve">Phase -2 Conduit Post checkings. </t>
  </si>
  <si>
    <t>Qc Checking Date</t>
  </si>
  <si>
    <t>DB Fixing Completed, Dressing Pending</t>
  </si>
  <si>
    <t>DB Fixing&amp; Dressing Completed, Terminations WIP</t>
  </si>
  <si>
    <t>DB Fixing completed, Dressing WIP</t>
  </si>
  <si>
    <t>6.0 Sqmm ODU Cabling Pending Due to Material Shortage</t>
  </si>
  <si>
    <t>30th Floor</t>
  </si>
  <si>
    <t>31st Floor</t>
  </si>
  <si>
    <t>32nd Floor</t>
  </si>
  <si>
    <t>Continuity Checking Pending</t>
  </si>
  <si>
    <r>
      <t>Work in Progress (</t>
    </r>
    <r>
      <rPr>
        <sz val="10"/>
        <color rgb="FFFF0000"/>
        <rFont val="Calibri"/>
        <family val="2"/>
        <scheme val="minor"/>
      </rPr>
      <t xml:space="preserve"> Snag Points -Avg 30 No's/ Flat</t>
    </r>
    <r>
      <rPr>
        <sz val="10"/>
        <rFont val="Calibri"/>
        <family val="2"/>
        <scheme val="minor"/>
      </rPr>
      <t>)</t>
    </r>
  </si>
  <si>
    <r>
      <t xml:space="preserve">Work in Progress ( </t>
    </r>
    <r>
      <rPr>
        <sz val="10"/>
        <color rgb="FFFF0000"/>
        <rFont val="Calibri"/>
        <family val="2"/>
        <scheme val="minor"/>
      </rPr>
      <t>Snag Points -Avg 30 No's/ Flat</t>
    </r>
    <r>
      <rPr>
        <sz val="10"/>
        <rFont val="Calibri"/>
        <family val="2"/>
        <scheme val="minor"/>
      </rPr>
      <t>)</t>
    </r>
  </si>
  <si>
    <t>Unit -801</t>
  </si>
  <si>
    <t>Unit -802</t>
  </si>
  <si>
    <t>Unit -803</t>
  </si>
  <si>
    <t>No Clearance</t>
  </si>
  <si>
    <t>27th Floor Corrdor</t>
  </si>
  <si>
    <t>28th Floor Corrdor</t>
  </si>
  <si>
    <t>29th Floor Corrdor</t>
  </si>
  <si>
    <t>30th Floor Corrdor</t>
  </si>
  <si>
    <t>31st Floor Corrdor</t>
  </si>
  <si>
    <t>32nd Floor Corrdor</t>
  </si>
  <si>
    <t>6.0 Sqmm, 10.0 Sqmm Cabling Pending Due to Material Shortage</t>
  </si>
  <si>
    <t>Unit -3 6.0 Sqmm ODU Cabling Pending Due to Material Shortage</t>
  </si>
  <si>
    <t>Few Snags Still Pending</t>
  </si>
  <si>
    <r>
      <t xml:space="preserve">Wire Material Shortage (10.0Sqmm, 6.0Sqmm, 4.0Sqmm&amp; Cat6 Cable) - </t>
    </r>
    <r>
      <rPr>
        <b/>
        <sz val="10"/>
        <color rgb="FFFF0000"/>
        <rFont val="Calibri"/>
        <family val="2"/>
        <scheme val="minor"/>
      </rPr>
      <t>Hindrance to 1st Coat Paint Clearance</t>
    </r>
    <r>
      <rPr>
        <b/>
        <sz val="10"/>
        <rFont val="Calibri"/>
        <family val="2"/>
        <scheme val="minor"/>
      </rPr>
      <t xml:space="preserve">&amp; </t>
    </r>
    <r>
      <rPr>
        <b/>
        <sz val="10"/>
        <color rgb="FFFF0000"/>
        <rFont val="Calibri"/>
        <family val="2"/>
        <scheme val="minor"/>
      </rPr>
      <t>Common area Board Closing Clearance</t>
    </r>
  </si>
  <si>
    <r>
      <t xml:space="preserve">Delay in Giving Light marking at Toilets&amp; Utilitys - </t>
    </r>
    <r>
      <rPr>
        <b/>
        <sz val="10"/>
        <color rgb="FFFF0000"/>
        <rFont val="Calibri"/>
        <family val="2"/>
        <scheme val="minor"/>
      </rPr>
      <t xml:space="preserve">Hindrance 1st Coat Paint </t>
    </r>
  </si>
  <si>
    <r>
      <t xml:space="preserve">Quality Deviation For Switch Boards Eraction Works - </t>
    </r>
    <r>
      <rPr>
        <b/>
        <sz val="10"/>
        <color rgb="FFFF0000"/>
        <rFont val="Calibri"/>
        <family val="2"/>
        <scheme val="minor"/>
      </rPr>
      <t>Average of 30 snag points per each unit</t>
    </r>
  </si>
  <si>
    <t>Light Marking</t>
  </si>
  <si>
    <t>AEDB Alignment &amp; Plaster Clearans</t>
  </si>
  <si>
    <t>Activity Tracker Tower -B/E As on Dt. 21-01-2026</t>
  </si>
  <si>
    <r>
      <t xml:space="preserve">Delay in Phase -2 Conduit Post checkings. </t>
    </r>
    <r>
      <rPr>
        <b/>
        <sz val="10"/>
        <color rgb="FFFF0000"/>
        <rFont val="Calibri"/>
        <family val="2"/>
        <scheme val="minor"/>
      </rPr>
      <t>{ 23rd Floor Structure WIP - Post Checking still 10th Floor WIP}</t>
    </r>
  </si>
  <si>
    <t>cat-6 and ODU wiring pending</t>
  </si>
  <si>
    <t>Unit -901</t>
  </si>
  <si>
    <t>Unit -903</t>
  </si>
  <si>
    <t>Unit -902</t>
  </si>
  <si>
    <t>Flat Continuity</t>
  </si>
  <si>
    <t>NO Man powere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</si>
</sst>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1" applyNumberFormat="1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8" fillId="0" borderId="11" xfId="1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14" fontId="8" fillId="0" borderId="11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4" fontId="11" fillId="0" borderId="11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vertical="center"/>
    </xf>
    <xf numFmtId="0" fontId="4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vertical="center"/>
    </xf>
    <xf numFmtId="0" fontId="14" fillId="0" borderId="11" xfId="0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4" fontId="6" fillId="4" borderId="11" xfId="0" applyNumberFormat="1" applyFont="1" applyFill="1" applyBorder="1" applyAlignment="1">
      <alignment horizontal="center" vertical="center" textRotation="90"/>
    </xf>
    <xf numFmtId="14" fontId="6" fillId="0" borderId="11" xfId="0" applyNumberFormat="1" applyFont="1" applyFill="1" applyBorder="1" applyAlignment="1">
      <alignment horizontal="center" vertical="center" textRotation="90"/>
    </xf>
    <xf numFmtId="0" fontId="12" fillId="0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3" applyNumberFormat="1" applyFont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8" fillId="0" borderId="11" xfId="3" applyNumberFormat="1" applyFont="1" applyBorder="1" applyAlignment="1">
      <alignment horizontal="center" vertical="center" wrapText="1"/>
    </xf>
    <xf numFmtId="14" fontId="8" fillId="0" borderId="11" xfId="2" applyNumberFormat="1" applyFont="1" applyBorder="1" applyAlignment="1">
      <alignment horizontal="center" vertical="center"/>
    </xf>
    <xf numFmtId="14" fontId="4" fillId="0" borderId="11" xfId="2" applyNumberFormat="1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16" fillId="0" borderId="12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left" vertical="center"/>
    </xf>
    <xf numFmtId="14" fontId="8" fillId="0" borderId="11" xfId="2" applyNumberFormat="1" applyFont="1" applyBorder="1" applyAlignment="1">
      <alignment horizontal="center" vertical="center" wrapText="1"/>
    </xf>
    <xf numFmtId="0" fontId="8" fillId="0" borderId="12" xfId="2" applyFont="1" applyBorder="1" applyAlignment="1">
      <alignment horizontal="left" vertical="center" wrapText="1"/>
    </xf>
    <xf numFmtId="0" fontId="8" fillId="0" borderId="11" xfId="2" applyFont="1" applyBorder="1" applyAlignment="1">
      <alignment horizontal="left" vertical="center" wrapText="1"/>
    </xf>
    <xf numFmtId="0" fontId="8" fillId="0" borderId="12" xfId="2" applyFont="1" applyBorder="1" applyAlignment="1">
      <alignment horizontal="left" vertical="center"/>
    </xf>
    <xf numFmtId="0" fontId="4" fillId="0" borderId="11" xfId="3" applyNumberFormat="1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2" fillId="0" borderId="14" xfId="2" applyFont="1" applyBorder="1" applyAlignment="1">
      <alignment horizontal="left" vertical="center"/>
    </xf>
    <xf numFmtId="0" fontId="12" fillId="0" borderId="14" xfId="2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/>
    </xf>
    <xf numFmtId="14" fontId="23" fillId="6" borderId="26" xfId="2" applyNumberFormat="1" applyFont="1" applyFill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14" fontId="4" fillId="0" borderId="8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0" fontId="8" fillId="0" borderId="8" xfId="1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14" fontId="4" fillId="0" borderId="33" xfId="0" applyNumberFormat="1" applyFont="1" applyBorder="1" applyAlignment="1">
      <alignment horizontal="center" vertical="center"/>
    </xf>
    <xf numFmtId="0" fontId="4" fillId="0" borderId="34" xfId="1" applyNumberFormat="1" applyFont="1" applyBorder="1" applyAlignment="1">
      <alignment horizontal="center" vertical="center" wrapText="1"/>
    </xf>
    <xf numFmtId="0" fontId="4" fillId="0" borderId="12" xfId="1" applyNumberFormat="1" applyFont="1" applyBorder="1" applyAlignment="1">
      <alignment horizontal="center" vertical="center" wrapText="1"/>
    </xf>
    <xf numFmtId="0" fontId="8" fillId="0" borderId="36" xfId="0" applyFont="1" applyBorder="1" applyAlignment="1">
      <alignment horizontal="left" vertical="center" wrapText="1"/>
    </xf>
    <xf numFmtId="14" fontId="8" fillId="0" borderId="36" xfId="0" applyNumberFormat="1" applyFont="1" applyBorder="1" applyAlignment="1">
      <alignment horizontal="center" vertical="center"/>
    </xf>
    <xf numFmtId="14" fontId="4" fillId="0" borderId="36" xfId="0" applyNumberFormat="1" applyFont="1" applyBorder="1" applyAlignment="1">
      <alignment horizontal="center" vertical="center"/>
    </xf>
    <xf numFmtId="0" fontId="4" fillId="0" borderId="37" xfId="1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/>
    </xf>
    <xf numFmtId="14" fontId="8" fillId="0" borderId="33" xfId="0" applyNumberFormat="1" applyFont="1" applyBorder="1" applyAlignment="1">
      <alignment horizontal="center" vertical="center"/>
    </xf>
    <xf numFmtId="0" fontId="8" fillId="0" borderId="34" xfId="1" applyNumberFormat="1" applyFont="1" applyBorder="1" applyAlignment="1">
      <alignment horizontal="center" vertical="center" wrapText="1"/>
    </xf>
    <xf numFmtId="0" fontId="8" fillId="0" borderId="12" xfId="1" applyNumberFormat="1" applyFont="1" applyBorder="1" applyAlignment="1">
      <alignment horizontal="center" vertical="center" wrapText="1"/>
    </xf>
    <xf numFmtId="0" fontId="8" fillId="0" borderId="37" xfId="1" applyNumberFormat="1" applyFont="1" applyBorder="1" applyAlignment="1">
      <alignment horizontal="center" vertical="center" wrapText="1"/>
    </xf>
    <xf numFmtId="0" fontId="8" fillId="0" borderId="43" xfId="0" applyFont="1" applyBorder="1" applyAlignment="1">
      <alignment horizontal="left" vertical="center"/>
    </xf>
    <xf numFmtId="0" fontId="2" fillId="2" borderId="40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33" xfId="1" applyNumberFormat="1" applyFont="1" applyBorder="1" applyAlignment="1">
      <alignment horizontal="center" vertical="center" wrapText="1"/>
    </xf>
    <xf numFmtId="0" fontId="4" fillId="0" borderId="34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 wrapText="1"/>
    </xf>
    <xf numFmtId="14" fontId="4" fillId="0" borderId="30" xfId="0" applyNumberFormat="1" applyFont="1" applyBorder="1" applyAlignment="1">
      <alignment horizontal="center" vertical="center"/>
    </xf>
    <xf numFmtId="14" fontId="8" fillId="0" borderId="30" xfId="0" applyNumberFormat="1" applyFont="1" applyBorder="1" applyAlignment="1">
      <alignment horizontal="center" vertical="center"/>
    </xf>
    <xf numFmtId="0" fontId="8" fillId="0" borderId="30" xfId="1" applyNumberFormat="1" applyFont="1" applyBorder="1" applyAlignment="1">
      <alignment horizontal="center" vertical="center" wrapText="1"/>
    </xf>
    <xf numFmtId="0" fontId="8" fillId="0" borderId="39" xfId="0" applyFont="1" applyBorder="1" applyAlignment="1">
      <alignment horizontal="left" vertical="center"/>
    </xf>
    <xf numFmtId="0" fontId="8" fillId="0" borderId="33" xfId="1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left" vertical="center"/>
    </xf>
    <xf numFmtId="14" fontId="8" fillId="0" borderId="36" xfId="0" applyNumberFormat="1" applyFont="1" applyBorder="1" applyAlignment="1">
      <alignment horizontal="center" vertical="center" wrapText="1"/>
    </xf>
    <xf numFmtId="0" fontId="8" fillId="0" borderId="36" xfId="1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37" xfId="0" applyFont="1" applyBorder="1" applyAlignment="1">
      <alignment horizontal="left" vertical="center"/>
    </xf>
    <xf numFmtId="0" fontId="2" fillId="2" borderId="44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1" applyNumberFormat="1" applyFont="1" applyFill="1" applyBorder="1" applyAlignment="1">
      <alignment horizontal="center" vertical="center" wrapText="1"/>
    </xf>
    <xf numFmtId="0" fontId="2" fillId="5" borderId="6" xfId="1" applyNumberFormat="1" applyFont="1" applyFill="1" applyBorder="1" applyAlignment="1">
      <alignment horizontal="center" vertical="center" wrapText="1"/>
    </xf>
    <xf numFmtId="14" fontId="24" fillId="9" borderId="33" xfId="0" applyNumberFormat="1" applyFont="1" applyFill="1" applyBorder="1" applyAlignment="1">
      <alignment horizontal="center" vertical="center"/>
    </xf>
    <xf numFmtId="14" fontId="24" fillId="9" borderId="36" xfId="0" applyNumberFormat="1" applyFont="1" applyFill="1" applyBorder="1" applyAlignment="1">
      <alignment horizontal="center" vertical="center"/>
    </xf>
    <xf numFmtId="0" fontId="12" fillId="10" borderId="0" xfId="2" applyFont="1" applyFill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14" fontId="8" fillId="0" borderId="30" xfId="0" applyNumberFormat="1" applyFont="1" applyBorder="1" applyAlignment="1">
      <alignment horizontal="center" vertical="center"/>
    </xf>
    <xf numFmtId="0" fontId="4" fillId="0" borderId="11" xfId="2" applyFont="1" applyBorder="1" applyAlignment="1">
      <alignment vertical="center" wrapText="1"/>
    </xf>
    <xf numFmtId="0" fontId="4" fillId="0" borderId="22" xfId="2" applyFont="1" applyBorder="1" applyAlignment="1">
      <alignment horizontal="center" vertical="center"/>
    </xf>
    <xf numFmtId="14" fontId="4" fillId="0" borderId="36" xfId="2" applyNumberFormat="1" applyFont="1" applyBorder="1" applyAlignment="1">
      <alignment horizontal="center" vertical="center"/>
    </xf>
    <xf numFmtId="14" fontId="8" fillId="0" borderId="36" xfId="2" applyNumberFormat="1" applyFont="1" applyBorder="1" applyAlignment="1">
      <alignment horizontal="center" vertical="center"/>
    </xf>
    <xf numFmtId="0" fontId="8" fillId="0" borderId="36" xfId="3" applyNumberFormat="1" applyFont="1" applyBorder="1" applyAlignment="1">
      <alignment horizontal="center" vertical="center" wrapText="1"/>
    </xf>
    <xf numFmtId="0" fontId="4" fillId="0" borderId="37" xfId="2" applyFont="1" applyBorder="1" applyAlignment="1">
      <alignment horizontal="left" vertical="center" wrapText="1"/>
    </xf>
    <xf numFmtId="0" fontId="2" fillId="0" borderId="7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8" xfId="3" applyNumberFormat="1" applyFont="1" applyBorder="1" applyAlignment="1">
      <alignment horizontal="center" vertical="center" wrapText="1"/>
    </xf>
    <xf numFmtId="0" fontId="2" fillId="0" borderId="9" xfId="3" applyNumberFormat="1" applyFont="1" applyBorder="1" applyAlignment="1">
      <alignment horizontal="center" vertical="center" wrapText="1"/>
    </xf>
    <xf numFmtId="0" fontId="25" fillId="0" borderId="10" xfId="2" applyFont="1" applyBorder="1" applyAlignment="1">
      <alignment horizontal="center" vertical="center" wrapText="1"/>
    </xf>
    <xf numFmtId="0" fontId="2" fillId="0" borderId="47" xfId="2" applyFont="1" applyBorder="1" applyAlignment="1">
      <alignment horizontal="center" vertical="center" wrapText="1"/>
    </xf>
    <xf numFmtId="14" fontId="6" fillId="2" borderId="14" xfId="2" applyNumberFormat="1" applyFont="1" applyFill="1" applyBorder="1" applyAlignment="1">
      <alignment horizontal="center" vertical="center" textRotation="90"/>
    </xf>
    <xf numFmtId="14" fontId="6" fillId="0" borderId="14" xfId="2" applyNumberFormat="1" applyFont="1" applyBorder="1" applyAlignment="1">
      <alignment horizontal="center" vertical="center" textRotation="90"/>
    </xf>
    <xf numFmtId="14" fontId="6" fillId="10" borderId="14" xfId="2" applyNumberFormat="1" applyFont="1" applyFill="1" applyBorder="1" applyAlignment="1">
      <alignment horizontal="center" vertical="center" textRotation="90"/>
    </xf>
    <xf numFmtId="0" fontId="12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/>
    </xf>
    <xf numFmtId="0" fontId="12" fillId="10" borderId="14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center" vertical="center" wrapText="1"/>
    </xf>
    <xf numFmtId="0" fontId="6" fillId="2" borderId="14" xfId="2" applyFont="1" applyFill="1" applyBorder="1" applyAlignment="1">
      <alignment horizontal="center" vertical="center"/>
    </xf>
    <xf numFmtId="0" fontId="6" fillId="10" borderId="14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wrapText="1"/>
    </xf>
    <xf numFmtId="14" fontId="4" fillId="0" borderId="31" xfId="0" applyNumberFormat="1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 wrapText="1"/>
    </xf>
    <xf numFmtId="0" fontId="8" fillId="0" borderId="31" xfId="1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14" fontId="26" fillId="4" borderId="11" xfId="0" applyNumberFormat="1" applyFont="1" applyFill="1" applyBorder="1" applyAlignment="1">
      <alignment horizontal="center" vertical="center" textRotation="90"/>
    </xf>
    <xf numFmtId="0" fontId="6" fillId="6" borderId="0" xfId="0" applyFont="1" applyFill="1" applyBorder="1" applyAlignment="1">
      <alignment horizontal="center" vertical="center"/>
    </xf>
    <xf numFmtId="14" fontId="6" fillId="6" borderId="11" xfId="0" applyNumberFormat="1" applyFont="1" applyFill="1" applyBorder="1" applyAlignment="1">
      <alignment horizontal="center" vertical="center" textRotation="90"/>
    </xf>
    <xf numFmtId="0" fontId="12" fillId="6" borderId="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7" fillId="4" borderId="11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left" vertical="center" wrapText="1"/>
    </xf>
    <xf numFmtId="0" fontId="9" fillId="2" borderId="12" xfId="2" applyFont="1" applyFill="1" applyBorder="1" applyAlignment="1">
      <alignment horizontal="left" vertical="center" wrapText="1"/>
    </xf>
    <xf numFmtId="0" fontId="2" fillId="0" borderId="11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left" vertical="center" wrapText="1"/>
    </xf>
    <xf numFmtId="0" fontId="5" fillId="0" borderId="44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4" xfId="2" applyFont="1" applyBorder="1" applyAlignment="1">
      <alignment horizontal="center" vertical="center"/>
    </xf>
    <xf numFmtId="0" fontId="6" fillId="0" borderId="10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6" fillId="0" borderId="12" xfId="2" applyFont="1" applyBorder="1" applyAlignment="1">
      <alignment horizontal="left" vertical="center"/>
    </xf>
    <xf numFmtId="0" fontId="7" fillId="2" borderId="11" xfId="2" applyFont="1" applyFill="1" applyBorder="1" applyAlignment="1">
      <alignment horizontal="left" vertical="center" wrapText="1"/>
    </xf>
    <xf numFmtId="0" fontId="7" fillId="2" borderId="12" xfId="2" applyFont="1" applyFill="1" applyBorder="1" applyAlignment="1">
      <alignment horizontal="left" vertical="center" wrapText="1"/>
    </xf>
    <xf numFmtId="0" fontId="2" fillId="0" borderId="50" xfId="2" applyFont="1" applyBorder="1" applyAlignment="1">
      <alignment horizontal="center" vertical="center" wrapText="1"/>
    </xf>
    <xf numFmtId="0" fontId="2" fillId="0" borderId="51" xfId="2" applyFont="1" applyBorder="1" applyAlignment="1">
      <alignment horizontal="center" vertical="center" wrapText="1"/>
    </xf>
    <xf numFmtId="0" fontId="2" fillId="0" borderId="52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left" vertical="center" wrapText="1"/>
    </xf>
    <xf numFmtId="0" fontId="2" fillId="0" borderId="12" xfId="2" applyFont="1" applyBorder="1" applyAlignment="1">
      <alignment horizontal="left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9" fillId="2" borderId="12" xfId="2" applyFont="1" applyFill="1" applyBorder="1" applyAlignment="1">
      <alignment horizontal="center" vertical="center" wrapText="1"/>
    </xf>
    <xf numFmtId="0" fontId="2" fillId="0" borderId="48" xfId="2" applyFont="1" applyBorder="1" applyAlignment="1">
      <alignment horizontal="left" vertical="center" wrapText="1"/>
    </xf>
    <xf numFmtId="0" fontId="2" fillId="0" borderId="49" xfId="2" applyFont="1" applyBorder="1" applyAlignment="1">
      <alignment horizontal="left" vertical="center" wrapText="1"/>
    </xf>
    <xf numFmtId="0" fontId="4" fillId="0" borderId="36" xfId="2" applyFont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/>
    </xf>
    <xf numFmtId="0" fontId="6" fillId="0" borderId="54" xfId="2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4" fillId="0" borderId="46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17" fontId="6" fillId="0" borderId="14" xfId="2" applyNumberFormat="1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41" xfId="0" applyFont="1" applyFill="1" applyBorder="1" applyAlignment="1">
      <alignment horizontal="left" vertical="center" wrapText="1"/>
    </xf>
    <xf numFmtId="0" fontId="9" fillId="2" borderId="42" xfId="0" applyFont="1" applyFill="1" applyBorder="1" applyAlignment="1">
      <alignment horizontal="left" vertical="center" wrapText="1"/>
    </xf>
    <xf numFmtId="0" fontId="7" fillId="2" borderId="41" xfId="0" applyFont="1" applyFill="1" applyBorder="1" applyAlignment="1">
      <alignment horizontal="left" vertical="center" wrapText="1"/>
    </xf>
    <xf numFmtId="0" fontId="7" fillId="2" borderId="42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14" fontId="8" fillId="0" borderId="30" xfId="0" applyNumberFormat="1" applyFont="1" applyBorder="1" applyAlignment="1">
      <alignment horizontal="center" vertical="center"/>
    </xf>
    <xf numFmtId="0" fontId="4" fillId="0" borderId="38" xfId="1" applyNumberFormat="1" applyFont="1" applyBorder="1" applyAlignment="1">
      <alignment horizontal="center" vertical="center" wrapText="1"/>
    </xf>
    <xf numFmtId="0" fontId="4" fillId="0" borderId="27" xfId="1" applyNumberFormat="1" applyFont="1" applyBorder="1" applyAlignment="1">
      <alignment horizontal="center" vertical="center" wrapText="1"/>
    </xf>
    <xf numFmtId="0" fontId="4" fillId="0" borderId="39" xfId="1" applyNumberFormat="1" applyFont="1" applyBorder="1" applyAlignment="1">
      <alignment horizontal="center" vertical="center" wrapText="1"/>
    </xf>
    <xf numFmtId="14" fontId="4" fillId="0" borderId="28" xfId="0" applyNumberFormat="1" applyFont="1" applyBorder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14" fontId="4" fillId="0" borderId="3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" fillId="2" borderId="33" xfId="0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12" fillId="0" borderId="55" xfId="2" applyFont="1" applyBorder="1" applyAlignment="1">
      <alignment horizontal="right" vertical="center"/>
    </xf>
    <xf numFmtId="0" fontId="12" fillId="0" borderId="56" xfId="2" applyFont="1" applyBorder="1" applyAlignment="1">
      <alignment horizontal="right" vertical="center"/>
    </xf>
    <xf numFmtId="0" fontId="12" fillId="0" borderId="57" xfId="2" applyFont="1" applyBorder="1" applyAlignment="1">
      <alignment horizontal="right" vertic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82"/>
  <sheetViews>
    <sheetView view="pageBreakPreview" zoomScaleNormal="100" workbookViewId="0">
      <selection activeCell="N12" sqref="N12"/>
    </sheetView>
  </sheetViews>
  <sheetFormatPr defaultColWidth="9.140625" defaultRowHeight="12.75"/>
  <cols>
    <col min="1" max="1" width="3" style="45" customWidth="1"/>
    <col min="2" max="2" width="6.42578125" style="45" customWidth="1"/>
    <col min="3" max="3" width="15.85546875" style="46" bestFit="1" customWidth="1"/>
    <col min="4" max="7" width="12.140625" style="45" customWidth="1"/>
    <col min="8" max="8" width="7.28515625" style="47" customWidth="1"/>
    <col min="9" max="9" width="52" style="46" customWidth="1"/>
    <col min="10" max="16384" width="9.140625" style="45"/>
  </cols>
  <sheetData>
    <row r="1" spans="2:9" ht="13.5" thickBot="1"/>
    <row r="2" spans="2:9" ht="26.25" customHeight="1">
      <c r="B2" s="169" t="s">
        <v>137</v>
      </c>
      <c r="C2" s="170"/>
      <c r="D2" s="170"/>
      <c r="E2" s="170"/>
      <c r="F2" s="170"/>
      <c r="G2" s="170"/>
      <c r="H2" s="170"/>
      <c r="I2" s="171"/>
    </row>
    <row r="3" spans="2:9" ht="18.75" customHeight="1">
      <c r="B3" s="172" t="s">
        <v>0</v>
      </c>
      <c r="C3" s="173"/>
      <c r="D3" s="173"/>
      <c r="E3" s="173"/>
      <c r="F3" s="173"/>
      <c r="G3" s="173"/>
      <c r="H3" s="173"/>
      <c r="I3" s="174"/>
    </row>
    <row r="4" spans="2:9" s="49" customFormat="1" ht="18.75" customHeight="1">
      <c r="B4" s="50"/>
      <c r="C4" s="182" t="s">
        <v>40</v>
      </c>
      <c r="D4" s="182"/>
      <c r="E4" s="182"/>
      <c r="F4" s="182"/>
      <c r="G4" s="182"/>
      <c r="H4" s="182"/>
      <c r="I4" s="183"/>
    </row>
    <row r="5" spans="2:9" s="48" customFormat="1" ht="27.6" customHeight="1">
      <c r="B5" s="135">
        <v>1</v>
      </c>
      <c r="C5" s="180" t="s">
        <v>132</v>
      </c>
      <c r="D5" s="180"/>
      <c r="E5" s="180"/>
      <c r="F5" s="180"/>
      <c r="G5" s="180"/>
      <c r="H5" s="180"/>
      <c r="I5" s="181"/>
    </row>
    <row r="6" spans="2:9" s="49" customFormat="1" ht="35.450000000000003" customHeight="1">
      <c r="B6" s="57">
        <v>2</v>
      </c>
      <c r="C6" s="180" t="s">
        <v>133</v>
      </c>
      <c r="D6" s="180"/>
      <c r="E6" s="180"/>
      <c r="F6" s="180"/>
      <c r="G6" s="180"/>
      <c r="H6" s="180"/>
      <c r="I6" s="181"/>
    </row>
    <row r="7" spans="2:9" s="49" customFormat="1" ht="32.450000000000003" customHeight="1">
      <c r="B7" s="135">
        <v>3</v>
      </c>
      <c r="C7" s="180" t="s">
        <v>134</v>
      </c>
      <c r="D7" s="180"/>
      <c r="E7" s="180"/>
      <c r="F7" s="180"/>
      <c r="G7" s="180"/>
      <c r="H7" s="180"/>
      <c r="I7" s="181"/>
    </row>
    <row r="8" spans="2:9" s="49" customFormat="1" ht="30.6" customHeight="1">
      <c r="B8" s="136">
        <v>4</v>
      </c>
      <c r="C8" s="184" t="s">
        <v>138</v>
      </c>
      <c r="D8" s="184"/>
      <c r="E8" s="184"/>
      <c r="F8" s="184"/>
      <c r="G8" s="184"/>
      <c r="H8" s="184"/>
      <c r="I8" s="185"/>
    </row>
    <row r="9" spans="2:9" s="49" customFormat="1" ht="4.5" customHeight="1">
      <c r="B9" s="177"/>
      <c r="C9" s="178"/>
      <c r="D9" s="178"/>
      <c r="E9" s="178"/>
      <c r="F9" s="178"/>
      <c r="G9" s="178"/>
      <c r="H9" s="178"/>
      <c r="I9" s="179"/>
    </row>
    <row r="10" spans="2:9" s="64" customFormat="1" ht="51">
      <c r="B10" s="131" t="s">
        <v>1</v>
      </c>
      <c r="C10" s="132" t="s">
        <v>2</v>
      </c>
      <c r="D10" s="132" t="s">
        <v>3</v>
      </c>
      <c r="E10" s="132" t="s">
        <v>4</v>
      </c>
      <c r="F10" s="132" t="s">
        <v>108</v>
      </c>
      <c r="G10" s="132" t="s">
        <v>5</v>
      </c>
      <c r="H10" s="133" t="s">
        <v>6</v>
      </c>
      <c r="I10" s="134" t="s">
        <v>7</v>
      </c>
    </row>
    <row r="11" spans="2:9" s="49" customFormat="1" ht="18.75" customHeight="1">
      <c r="B11" s="50" t="s">
        <v>8</v>
      </c>
      <c r="C11" s="175" t="s">
        <v>17</v>
      </c>
      <c r="D11" s="175"/>
      <c r="E11" s="175"/>
      <c r="F11" s="175"/>
      <c r="G11" s="175"/>
      <c r="H11" s="175"/>
      <c r="I11" s="176"/>
    </row>
    <row r="12" spans="2:9" ht="18.75" customHeight="1">
      <c r="B12" s="54">
        <v>1</v>
      </c>
      <c r="C12" s="61" t="s">
        <v>18</v>
      </c>
      <c r="D12" s="52">
        <v>45960</v>
      </c>
      <c r="E12" s="52">
        <f>D12+2</f>
        <v>45962</v>
      </c>
      <c r="F12" s="52">
        <v>45971</v>
      </c>
      <c r="G12" s="52">
        <v>45971</v>
      </c>
      <c r="H12" s="51">
        <f>G12-E12</f>
        <v>9</v>
      </c>
      <c r="I12" s="62"/>
    </row>
    <row r="13" spans="2:9" ht="18.75" customHeight="1">
      <c r="B13" s="54">
        <v>2</v>
      </c>
      <c r="C13" s="61" t="s">
        <v>19</v>
      </c>
      <c r="D13" s="52">
        <v>45960</v>
      </c>
      <c r="E13" s="52">
        <f t="shared" ref="E13:E41" si="0">E12+2</f>
        <v>45964</v>
      </c>
      <c r="F13" s="52">
        <v>45973</v>
      </c>
      <c r="G13" s="52">
        <v>45973</v>
      </c>
      <c r="H13" s="51">
        <f>G13-E13</f>
        <v>9</v>
      </c>
      <c r="I13" s="62"/>
    </row>
    <row r="14" spans="2:9" ht="18.75" customHeight="1">
      <c r="B14" s="54">
        <v>3</v>
      </c>
      <c r="C14" s="61" t="s">
        <v>20</v>
      </c>
      <c r="D14" s="52">
        <v>45960</v>
      </c>
      <c r="E14" s="52">
        <f t="shared" si="0"/>
        <v>45966</v>
      </c>
      <c r="F14" s="52">
        <v>45980</v>
      </c>
      <c r="G14" s="52">
        <v>45981</v>
      </c>
      <c r="H14" s="51">
        <f>G14-E14</f>
        <v>15</v>
      </c>
      <c r="I14" s="62"/>
    </row>
    <row r="15" spans="2:9" ht="18.75" customHeight="1">
      <c r="B15" s="54">
        <v>4</v>
      </c>
      <c r="C15" s="61" t="s">
        <v>21</v>
      </c>
      <c r="D15" s="52">
        <v>45960</v>
      </c>
      <c r="E15" s="52">
        <f t="shared" si="0"/>
        <v>45968</v>
      </c>
      <c r="F15" s="52">
        <v>46006</v>
      </c>
      <c r="G15" s="52">
        <v>46006</v>
      </c>
      <c r="H15" s="51">
        <f>G15-E15</f>
        <v>38</v>
      </c>
      <c r="I15" s="62"/>
    </row>
    <row r="16" spans="2:9" ht="15" customHeight="1">
      <c r="B16" s="54">
        <v>5</v>
      </c>
      <c r="C16" s="61" t="s">
        <v>23</v>
      </c>
      <c r="D16" s="52">
        <v>45960</v>
      </c>
      <c r="E16" s="52">
        <f t="shared" si="0"/>
        <v>45970</v>
      </c>
      <c r="F16" s="52">
        <v>46003</v>
      </c>
      <c r="G16" s="52">
        <v>46004</v>
      </c>
      <c r="H16" s="51">
        <f>G16-E16</f>
        <v>34</v>
      </c>
      <c r="I16" s="60"/>
    </row>
    <row r="17" spans="2:9" ht="18.75" customHeight="1">
      <c r="B17" s="54">
        <v>6</v>
      </c>
      <c r="C17" s="121" t="s">
        <v>24</v>
      </c>
      <c r="D17" s="52">
        <v>45960</v>
      </c>
      <c r="E17" s="52">
        <f t="shared" si="0"/>
        <v>45972</v>
      </c>
      <c r="F17" s="53">
        <v>46011</v>
      </c>
      <c r="G17" s="59">
        <v>46013</v>
      </c>
      <c r="H17" s="51">
        <f t="shared" ref="H17:H31" si="1">G17-E17</f>
        <v>41</v>
      </c>
      <c r="I17" s="58"/>
    </row>
    <row r="18" spans="2:9" ht="18" customHeight="1">
      <c r="B18" s="54">
        <v>7</v>
      </c>
      <c r="C18" s="121" t="s">
        <v>25</v>
      </c>
      <c r="D18" s="52">
        <v>45960</v>
      </c>
      <c r="E18" s="52">
        <f t="shared" si="0"/>
        <v>45974</v>
      </c>
      <c r="F18" s="53">
        <v>46013</v>
      </c>
      <c r="G18" s="59">
        <v>46014</v>
      </c>
      <c r="H18" s="51">
        <f t="shared" si="1"/>
        <v>40</v>
      </c>
      <c r="I18" s="58"/>
    </row>
    <row r="19" spans="2:9" ht="18" customHeight="1">
      <c r="B19" s="54">
        <v>8</v>
      </c>
      <c r="C19" s="121" t="s">
        <v>69</v>
      </c>
      <c r="D19" s="52">
        <v>45960</v>
      </c>
      <c r="E19" s="52">
        <f t="shared" si="0"/>
        <v>45976</v>
      </c>
      <c r="F19" s="53">
        <v>46013</v>
      </c>
      <c r="G19" s="59">
        <v>46017</v>
      </c>
      <c r="H19" s="51">
        <f t="shared" si="1"/>
        <v>41</v>
      </c>
      <c r="I19" s="58"/>
    </row>
    <row r="20" spans="2:9" ht="18" customHeight="1">
      <c r="B20" s="54">
        <v>9</v>
      </c>
      <c r="C20" s="121" t="s">
        <v>95</v>
      </c>
      <c r="D20" s="52">
        <v>45960</v>
      </c>
      <c r="E20" s="52">
        <f t="shared" si="0"/>
        <v>45978</v>
      </c>
      <c r="F20" s="53">
        <v>46016</v>
      </c>
      <c r="G20" s="59">
        <v>46017</v>
      </c>
      <c r="H20" s="51">
        <f t="shared" si="1"/>
        <v>39</v>
      </c>
      <c r="I20" s="58"/>
    </row>
    <row r="21" spans="2:9" ht="18" customHeight="1">
      <c r="B21" s="54">
        <v>10</v>
      </c>
      <c r="C21" s="121" t="s">
        <v>94</v>
      </c>
      <c r="D21" s="52">
        <v>45960</v>
      </c>
      <c r="E21" s="52">
        <f t="shared" si="0"/>
        <v>45980</v>
      </c>
      <c r="F21" s="53">
        <v>46016</v>
      </c>
      <c r="G21" s="59">
        <v>46017</v>
      </c>
      <c r="H21" s="51">
        <f t="shared" si="1"/>
        <v>37</v>
      </c>
      <c r="I21" s="58"/>
    </row>
    <row r="22" spans="2:9" ht="18" customHeight="1">
      <c r="B22" s="54">
        <v>11</v>
      </c>
      <c r="C22" s="121" t="s">
        <v>93</v>
      </c>
      <c r="D22" s="52">
        <v>45960</v>
      </c>
      <c r="E22" s="52">
        <f t="shared" si="0"/>
        <v>45982</v>
      </c>
      <c r="F22" s="53">
        <v>46027</v>
      </c>
      <c r="G22" s="59">
        <v>46028</v>
      </c>
      <c r="H22" s="51">
        <f t="shared" si="1"/>
        <v>46</v>
      </c>
      <c r="I22" s="58"/>
    </row>
    <row r="23" spans="2:9" ht="18" customHeight="1">
      <c r="B23" s="54">
        <v>12</v>
      </c>
      <c r="C23" s="121" t="s">
        <v>92</v>
      </c>
      <c r="D23" s="52">
        <v>45960</v>
      </c>
      <c r="E23" s="52">
        <f t="shared" si="0"/>
        <v>45984</v>
      </c>
      <c r="F23" s="53">
        <v>46033</v>
      </c>
      <c r="G23" s="59">
        <v>46034</v>
      </c>
      <c r="H23" s="51">
        <f t="shared" si="1"/>
        <v>50</v>
      </c>
      <c r="I23" s="58"/>
    </row>
    <row r="24" spans="2:9" ht="18" customHeight="1">
      <c r="B24" s="54">
        <v>13</v>
      </c>
      <c r="C24" s="121" t="s">
        <v>91</v>
      </c>
      <c r="D24" s="52">
        <v>45960</v>
      </c>
      <c r="E24" s="52">
        <f t="shared" si="0"/>
        <v>45986</v>
      </c>
      <c r="F24" s="53">
        <v>46033</v>
      </c>
      <c r="G24" s="59">
        <v>46034</v>
      </c>
      <c r="H24" s="51">
        <f t="shared" si="1"/>
        <v>48</v>
      </c>
      <c r="I24" s="58"/>
    </row>
    <row r="25" spans="2:9" ht="18" customHeight="1">
      <c r="B25" s="54">
        <v>14</v>
      </c>
      <c r="C25" s="121" t="s">
        <v>90</v>
      </c>
      <c r="D25" s="52">
        <v>45960</v>
      </c>
      <c r="E25" s="52">
        <f t="shared" si="0"/>
        <v>45988</v>
      </c>
      <c r="F25" s="53">
        <v>46033</v>
      </c>
      <c r="G25" s="59">
        <v>46034</v>
      </c>
      <c r="H25" s="51">
        <f t="shared" si="1"/>
        <v>46</v>
      </c>
      <c r="I25" s="58"/>
    </row>
    <row r="26" spans="2:9" ht="18" customHeight="1">
      <c r="B26" s="54">
        <v>15</v>
      </c>
      <c r="C26" s="121" t="s">
        <v>89</v>
      </c>
      <c r="D26" s="52">
        <v>45960</v>
      </c>
      <c r="E26" s="52">
        <f t="shared" si="0"/>
        <v>45990</v>
      </c>
      <c r="F26" s="53">
        <v>46033</v>
      </c>
      <c r="G26" s="59">
        <v>46034</v>
      </c>
      <c r="H26" s="51">
        <f t="shared" si="1"/>
        <v>44</v>
      </c>
      <c r="I26" s="58" t="s">
        <v>130</v>
      </c>
    </row>
    <row r="27" spans="2:9" ht="18" customHeight="1">
      <c r="B27" s="54">
        <v>16</v>
      </c>
      <c r="C27" s="121" t="s">
        <v>88</v>
      </c>
      <c r="D27" s="52">
        <v>45960</v>
      </c>
      <c r="E27" s="52">
        <f t="shared" si="0"/>
        <v>45992</v>
      </c>
      <c r="F27" s="53">
        <v>46033</v>
      </c>
      <c r="G27" s="59">
        <v>46034</v>
      </c>
      <c r="H27" s="51">
        <f t="shared" si="1"/>
        <v>42</v>
      </c>
      <c r="I27" s="58" t="s">
        <v>130</v>
      </c>
    </row>
    <row r="28" spans="2:9" ht="18" customHeight="1">
      <c r="B28" s="54">
        <v>17</v>
      </c>
      <c r="C28" s="121" t="s">
        <v>87</v>
      </c>
      <c r="D28" s="52">
        <v>45960</v>
      </c>
      <c r="E28" s="52">
        <f t="shared" si="0"/>
        <v>45994</v>
      </c>
      <c r="F28" s="53">
        <v>46038</v>
      </c>
      <c r="G28" s="59">
        <v>46039</v>
      </c>
      <c r="H28" s="51">
        <f t="shared" si="1"/>
        <v>45</v>
      </c>
      <c r="I28" s="58" t="s">
        <v>112</v>
      </c>
    </row>
    <row r="29" spans="2:9" ht="18" customHeight="1">
      <c r="B29" s="54">
        <v>18</v>
      </c>
      <c r="C29" s="121" t="s">
        <v>86</v>
      </c>
      <c r="D29" s="52">
        <v>45960</v>
      </c>
      <c r="E29" s="52">
        <f t="shared" si="0"/>
        <v>45996</v>
      </c>
      <c r="F29" s="53">
        <v>46038</v>
      </c>
      <c r="G29" s="59">
        <v>46039</v>
      </c>
      <c r="H29" s="51">
        <f t="shared" si="1"/>
        <v>43</v>
      </c>
      <c r="I29" s="58" t="s">
        <v>112</v>
      </c>
    </row>
    <row r="30" spans="2:9" ht="18" customHeight="1">
      <c r="B30" s="54">
        <v>19</v>
      </c>
      <c r="C30" s="121" t="s">
        <v>98</v>
      </c>
      <c r="D30" s="52">
        <v>45960</v>
      </c>
      <c r="E30" s="52">
        <f t="shared" si="0"/>
        <v>45998</v>
      </c>
      <c r="F30" s="53">
        <v>46041</v>
      </c>
      <c r="G30" s="59">
        <v>46042</v>
      </c>
      <c r="H30" s="51">
        <f t="shared" si="1"/>
        <v>44</v>
      </c>
      <c r="I30" s="58" t="s">
        <v>129</v>
      </c>
    </row>
    <row r="31" spans="2:9" ht="18" customHeight="1">
      <c r="B31" s="54">
        <v>20</v>
      </c>
      <c r="C31" s="121" t="s">
        <v>99</v>
      </c>
      <c r="D31" s="52">
        <v>45960</v>
      </c>
      <c r="E31" s="52">
        <f t="shared" si="0"/>
        <v>46000</v>
      </c>
      <c r="F31" s="53">
        <v>46041</v>
      </c>
      <c r="G31" s="59">
        <v>46042</v>
      </c>
      <c r="H31" s="51">
        <f t="shared" si="1"/>
        <v>42</v>
      </c>
      <c r="I31" s="58" t="s">
        <v>129</v>
      </c>
    </row>
    <row r="32" spans="2:9" ht="18" customHeight="1">
      <c r="B32" s="54">
        <v>21</v>
      </c>
      <c r="C32" s="121" t="s">
        <v>100</v>
      </c>
      <c r="D32" s="52">
        <v>45960</v>
      </c>
      <c r="E32" s="52">
        <f t="shared" si="0"/>
        <v>46002</v>
      </c>
      <c r="F32" s="53" t="s">
        <v>22</v>
      </c>
      <c r="G32" s="59" t="s">
        <v>22</v>
      </c>
      <c r="H32" s="51" t="s">
        <v>22</v>
      </c>
      <c r="I32" s="58" t="s">
        <v>39</v>
      </c>
    </row>
    <row r="33" spans="2:9" ht="18" customHeight="1">
      <c r="B33" s="54">
        <v>22</v>
      </c>
      <c r="C33" s="121" t="s">
        <v>101</v>
      </c>
      <c r="D33" s="52">
        <v>45960</v>
      </c>
      <c r="E33" s="52">
        <f t="shared" si="0"/>
        <v>46004</v>
      </c>
      <c r="F33" s="53" t="s">
        <v>22</v>
      </c>
      <c r="G33" s="59" t="s">
        <v>22</v>
      </c>
      <c r="H33" s="51" t="s">
        <v>22</v>
      </c>
      <c r="I33" s="58" t="s">
        <v>39</v>
      </c>
    </row>
    <row r="34" spans="2:9" ht="18" customHeight="1">
      <c r="B34" s="54">
        <v>23</v>
      </c>
      <c r="C34" s="121" t="s">
        <v>102</v>
      </c>
      <c r="D34" s="52">
        <v>45960</v>
      </c>
      <c r="E34" s="52">
        <f t="shared" si="0"/>
        <v>46006</v>
      </c>
      <c r="F34" s="53" t="s">
        <v>22</v>
      </c>
      <c r="G34" s="59" t="s">
        <v>22</v>
      </c>
      <c r="H34" s="51" t="s">
        <v>22</v>
      </c>
      <c r="I34" s="58" t="s">
        <v>39</v>
      </c>
    </row>
    <row r="35" spans="2:9" ht="18" customHeight="1">
      <c r="B35" s="54">
        <v>24</v>
      </c>
      <c r="C35" s="121" t="s">
        <v>103</v>
      </c>
      <c r="D35" s="52">
        <v>45960</v>
      </c>
      <c r="E35" s="52">
        <f t="shared" si="0"/>
        <v>46008</v>
      </c>
      <c r="F35" s="53" t="s">
        <v>22</v>
      </c>
      <c r="G35" s="59" t="s">
        <v>22</v>
      </c>
      <c r="H35" s="51" t="s">
        <v>22</v>
      </c>
      <c r="I35" s="58" t="s">
        <v>39</v>
      </c>
    </row>
    <row r="36" spans="2:9" ht="18" customHeight="1">
      <c r="B36" s="54">
        <v>25</v>
      </c>
      <c r="C36" s="121" t="s">
        <v>123</v>
      </c>
      <c r="D36" s="52">
        <v>45960</v>
      </c>
      <c r="E36" s="52">
        <f t="shared" si="0"/>
        <v>46010</v>
      </c>
      <c r="F36" s="53" t="s">
        <v>22</v>
      </c>
      <c r="G36" s="59" t="s">
        <v>22</v>
      </c>
      <c r="H36" s="51" t="s">
        <v>22</v>
      </c>
      <c r="I36" s="58" t="s">
        <v>39</v>
      </c>
    </row>
    <row r="37" spans="2:9" ht="18" customHeight="1">
      <c r="B37" s="54">
        <v>26</v>
      </c>
      <c r="C37" s="121" t="s">
        <v>124</v>
      </c>
      <c r="D37" s="52">
        <v>45960</v>
      </c>
      <c r="E37" s="52">
        <f t="shared" si="0"/>
        <v>46012</v>
      </c>
      <c r="F37" s="53" t="s">
        <v>22</v>
      </c>
      <c r="G37" s="59" t="s">
        <v>22</v>
      </c>
      <c r="H37" s="51" t="s">
        <v>22</v>
      </c>
      <c r="I37" s="58" t="s">
        <v>39</v>
      </c>
    </row>
    <row r="38" spans="2:9" ht="18" customHeight="1">
      <c r="B38" s="54">
        <v>27</v>
      </c>
      <c r="C38" s="121" t="s">
        <v>125</v>
      </c>
      <c r="D38" s="52">
        <v>45960</v>
      </c>
      <c r="E38" s="52">
        <f t="shared" si="0"/>
        <v>46014</v>
      </c>
      <c r="F38" s="53" t="s">
        <v>22</v>
      </c>
      <c r="G38" s="59" t="s">
        <v>22</v>
      </c>
      <c r="H38" s="51" t="s">
        <v>22</v>
      </c>
      <c r="I38" s="58" t="s">
        <v>39</v>
      </c>
    </row>
    <row r="39" spans="2:9" ht="18" customHeight="1">
      <c r="B39" s="54">
        <v>28</v>
      </c>
      <c r="C39" s="121" t="s">
        <v>126</v>
      </c>
      <c r="D39" s="52">
        <v>45960</v>
      </c>
      <c r="E39" s="52">
        <f t="shared" si="0"/>
        <v>46016</v>
      </c>
      <c r="F39" s="53" t="s">
        <v>22</v>
      </c>
      <c r="G39" s="59" t="s">
        <v>22</v>
      </c>
      <c r="H39" s="51" t="s">
        <v>22</v>
      </c>
      <c r="I39" s="58" t="s">
        <v>39</v>
      </c>
    </row>
    <row r="40" spans="2:9" ht="18" customHeight="1">
      <c r="B40" s="54">
        <v>29</v>
      </c>
      <c r="C40" s="121" t="s">
        <v>127</v>
      </c>
      <c r="D40" s="52">
        <v>45960</v>
      </c>
      <c r="E40" s="52">
        <f t="shared" si="0"/>
        <v>46018</v>
      </c>
      <c r="F40" s="53" t="s">
        <v>22</v>
      </c>
      <c r="G40" s="59" t="s">
        <v>22</v>
      </c>
      <c r="H40" s="51" t="s">
        <v>22</v>
      </c>
      <c r="I40" s="58" t="s">
        <v>39</v>
      </c>
    </row>
    <row r="41" spans="2:9" ht="18" customHeight="1">
      <c r="B41" s="54">
        <v>30</v>
      </c>
      <c r="C41" s="121" t="s">
        <v>128</v>
      </c>
      <c r="D41" s="52">
        <v>45960</v>
      </c>
      <c r="E41" s="52">
        <f t="shared" si="0"/>
        <v>46020</v>
      </c>
      <c r="F41" s="53" t="s">
        <v>22</v>
      </c>
      <c r="G41" s="59" t="s">
        <v>22</v>
      </c>
      <c r="H41" s="51" t="s">
        <v>22</v>
      </c>
      <c r="I41" s="58" t="s">
        <v>39</v>
      </c>
    </row>
    <row r="42" spans="2:9" s="49" customFormat="1" ht="18.75" customHeight="1">
      <c r="B42" s="50" t="s">
        <v>13</v>
      </c>
      <c r="C42" s="165" t="s">
        <v>27</v>
      </c>
      <c r="D42" s="165"/>
      <c r="E42" s="165"/>
      <c r="F42" s="165"/>
      <c r="G42" s="165"/>
      <c r="H42" s="165"/>
      <c r="I42" s="166"/>
    </row>
    <row r="43" spans="2:9" ht="18.75" customHeight="1">
      <c r="B43" s="54">
        <v>1</v>
      </c>
      <c r="C43" s="125" t="s">
        <v>28</v>
      </c>
      <c r="D43" s="53">
        <v>45960</v>
      </c>
      <c r="E43" s="53">
        <f>D43+7</f>
        <v>45967</v>
      </c>
      <c r="F43" s="53" t="s">
        <v>22</v>
      </c>
      <c r="G43" s="53" t="s">
        <v>22</v>
      </c>
      <c r="H43" s="51" t="s">
        <v>22</v>
      </c>
      <c r="I43" s="58" t="s">
        <v>39</v>
      </c>
    </row>
    <row r="44" spans="2:9" ht="18.75" customHeight="1">
      <c r="B44" s="54">
        <v>2</v>
      </c>
      <c r="C44" s="125" t="s">
        <v>29</v>
      </c>
      <c r="D44" s="53">
        <v>45960</v>
      </c>
      <c r="E44" s="53">
        <f>D44+7</f>
        <v>45967</v>
      </c>
      <c r="F44" s="53" t="s">
        <v>22</v>
      </c>
      <c r="G44" s="53" t="s">
        <v>22</v>
      </c>
      <c r="H44" s="51" t="s">
        <v>22</v>
      </c>
      <c r="I44" s="58" t="s">
        <v>39</v>
      </c>
    </row>
    <row r="45" spans="2:9" s="49" customFormat="1" ht="18.75" customHeight="1">
      <c r="B45" s="50" t="s">
        <v>16</v>
      </c>
      <c r="C45" s="165" t="s">
        <v>9</v>
      </c>
      <c r="D45" s="165"/>
      <c r="E45" s="165"/>
      <c r="F45" s="165"/>
      <c r="G45" s="165"/>
      <c r="H45" s="165"/>
      <c r="I45" s="166"/>
    </row>
    <row r="46" spans="2:9" ht="18.75" customHeight="1">
      <c r="B46" s="54">
        <v>1</v>
      </c>
      <c r="C46" s="121" t="s">
        <v>10</v>
      </c>
      <c r="D46" s="53">
        <v>45958</v>
      </c>
      <c r="E46" s="53">
        <f t="shared" ref="E46:E58" si="2">D46+3</f>
        <v>45961</v>
      </c>
      <c r="F46" s="53">
        <v>45964</v>
      </c>
      <c r="G46" s="53">
        <v>45964</v>
      </c>
      <c r="H46" s="63">
        <f t="shared" ref="H46:H52" si="3">G46-E46</f>
        <v>3</v>
      </c>
      <c r="I46" s="58"/>
    </row>
    <row r="47" spans="2:9" ht="18.75" customHeight="1">
      <c r="B47" s="54">
        <v>2</v>
      </c>
      <c r="C47" s="61" t="s">
        <v>11</v>
      </c>
      <c r="D47" s="52">
        <v>45978</v>
      </c>
      <c r="E47" s="52">
        <f t="shared" si="2"/>
        <v>45981</v>
      </c>
      <c r="F47" s="52">
        <v>45985</v>
      </c>
      <c r="G47" s="52">
        <v>45986</v>
      </c>
      <c r="H47" s="51">
        <f t="shared" si="3"/>
        <v>5</v>
      </c>
      <c r="I47" s="62"/>
    </row>
    <row r="48" spans="2:9" ht="18.75" customHeight="1">
      <c r="B48" s="54">
        <v>3</v>
      </c>
      <c r="C48" s="61" t="s">
        <v>12</v>
      </c>
      <c r="D48" s="52">
        <v>45961</v>
      </c>
      <c r="E48" s="52">
        <f t="shared" si="2"/>
        <v>45964</v>
      </c>
      <c r="F48" s="52">
        <v>45972</v>
      </c>
      <c r="G48" s="52">
        <v>45972</v>
      </c>
      <c r="H48" s="51">
        <f t="shared" si="3"/>
        <v>8</v>
      </c>
      <c r="I48" s="62"/>
    </row>
    <row r="49" spans="2:9" ht="18.75" customHeight="1">
      <c r="B49" s="54">
        <v>4</v>
      </c>
      <c r="C49" s="121" t="s">
        <v>64</v>
      </c>
      <c r="D49" s="52">
        <v>45987</v>
      </c>
      <c r="E49" s="52">
        <f t="shared" si="2"/>
        <v>45990</v>
      </c>
      <c r="F49" s="52">
        <v>45999</v>
      </c>
      <c r="G49" s="52">
        <v>46002</v>
      </c>
      <c r="H49" s="51">
        <f t="shared" si="3"/>
        <v>12</v>
      </c>
      <c r="I49" s="62"/>
    </row>
    <row r="50" spans="2:9" ht="18.75" customHeight="1">
      <c r="B50" s="54">
        <v>5</v>
      </c>
      <c r="C50" s="121" t="s">
        <v>62</v>
      </c>
      <c r="D50" s="52">
        <v>45992</v>
      </c>
      <c r="E50" s="52">
        <f t="shared" si="2"/>
        <v>45995</v>
      </c>
      <c r="F50" s="52">
        <v>45999</v>
      </c>
      <c r="G50" s="52">
        <v>46003</v>
      </c>
      <c r="H50" s="51">
        <f t="shared" si="3"/>
        <v>8</v>
      </c>
      <c r="I50" s="62"/>
    </row>
    <row r="51" spans="2:9" ht="18.75" customHeight="1">
      <c r="B51" s="54">
        <v>6</v>
      </c>
      <c r="C51" s="121" t="s">
        <v>63</v>
      </c>
      <c r="D51" s="52">
        <v>45994</v>
      </c>
      <c r="E51" s="52">
        <f t="shared" si="2"/>
        <v>45997</v>
      </c>
      <c r="F51" s="52">
        <v>45999</v>
      </c>
      <c r="G51" s="52">
        <v>46004</v>
      </c>
      <c r="H51" s="51">
        <f t="shared" si="3"/>
        <v>7</v>
      </c>
      <c r="I51" s="62"/>
    </row>
    <row r="52" spans="2:9" ht="18.75" customHeight="1">
      <c r="B52" s="54">
        <v>7</v>
      </c>
      <c r="C52" s="121" t="s">
        <v>79</v>
      </c>
      <c r="D52" s="52">
        <v>46003</v>
      </c>
      <c r="E52" s="52">
        <f t="shared" si="2"/>
        <v>46006</v>
      </c>
      <c r="F52" s="52">
        <v>46011</v>
      </c>
      <c r="G52" s="52">
        <v>46027</v>
      </c>
      <c r="H52" s="51">
        <f t="shared" si="3"/>
        <v>21</v>
      </c>
      <c r="I52" s="62"/>
    </row>
    <row r="53" spans="2:9" ht="18.75" customHeight="1">
      <c r="B53" s="54">
        <v>8</v>
      </c>
      <c r="C53" s="121" t="s">
        <v>80</v>
      </c>
      <c r="D53" s="52">
        <v>46008</v>
      </c>
      <c r="E53" s="52">
        <f t="shared" si="2"/>
        <v>46011</v>
      </c>
      <c r="F53" s="52">
        <v>46028</v>
      </c>
      <c r="G53" s="52" t="s">
        <v>22</v>
      </c>
      <c r="H53" s="51" t="s">
        <v>22</v>
      </c>
      <c r="I53" s="62" t="s">
        <v>117</v>
      </c>
    </row>
    <row r="54" spans="2:9" ht="18.75" customHeight="1">
      <c r="B54" s="54">
        <v>9</v>
      </c>
      <c r="C54" s="121" t="s">
        <v>65</v>
      </c>
      <c r="D54" s="52">
        <v>46040</v>
      </c>
      <c r="E54" s="52">
        <f t="shared" si="2"/>
        <v>46043</v>
      </c>
      <c r="F54" s="52" t="s">
        <v>22</v>
      </c>
      <c r="G54" s="52" t="s">
        <v>22</v>
      </c>
      <c r="H54" s="51" t="s">
        <v>22</v>
      </c>
      <c r="I54" s="62" t="s">
        <v>96</v>
      </c>
    </row>
    <row r="55" spans="2:9" ht="18.75" customHeight="1">
      <c r="B55" s="54">
        <v>10</v>
      </c>
      <c r="C55" s="121" t="s">
        <v>81</v>
      </c>
      <c r="D55" s="52">
        <v>46028</v>
      </c>
      <c r="E55" s="52">
        <f t="shared" si="2"/>
        <v>46031</v>
      </c>
      <c r="F55" s="52" t="s">
        <v>22</v>
      </c>
      <c r="G55" s="52" t="s">
        <v>22</v>
      </c>
      <c r="H55" s="51" t="s">
        <v>22</v>
      </c>
      <c r="I55" s="62" t="s">
        <v>96</v>
      </c>
    </row>
    <row r="56" spans="2:9" ht="18.75" customHeight="1">
      <c r="B56" s="54">
        <v>11</v>
      </c>
      <c r="C56" s="121" t="s">
        <v>78</v>
      </c>
      <c r="D56" s="52">
        <v>46018</v>
      </c>
      <c r="E56" s="52">
        <f t="shared" si="2"/>
        <v>46021</v>
      </c>
      <c r="F56" s="52">
        <v>46042</v>
      </c>
      <c r="G56" s="52" t="s">
        <v>22</v>
      </c>
      <c r="H56" s="51" t="s">
        <v>22</v>
      </c>
      <c r="I56" s="62" t="s">
        <v>118</v>
      </c>
    </row>
    <row r="57" spans="2:9" ht="18.75" customHeight="1">
      <c r="B57" s="54">
        <v>12</v>
      </c>
      <c r="C57" s="121" t="s">
        <v>77</v>
      </c>
      <c r="D57" s="52">
        <v>46018</v>
      </c>
      <c r="E57" s="52">
        <f t="shared" si="2"/>
        <v>46021</v>
      </c>
      <c r="F57" s="52">
        <v>46042</v>
      </c>
      <c r="G57" s="52" t="s">
        <v>22</v>
      </c>
      <c r="H57" s="51" t="s">
        <v>22</v>
      </c>
      <c r="I57" s="62" t="s">
        <v>118</v>
      </c>
    </row>
    <row r="58" spans="2:9" ht="18.75" customHeight="1">
      <c r="B58" s="54">
        <v>13</v>
      </c>
      <c r="C58" s="121" t="s">
        <v>81</v>
      </c>
      <c r="D58" s="52">
        <v>46040</v>
      </c>
      <c r="E58" s="52">
        <f t="shared" si="2"/>
        <v>46043</v>
      </c>
      <c r="F58" s="52" t="s">
        <v>22</v>
      </c>
      <c r="G58" s="52" t="s">
        <v>22</v>
      </c>
      <c r="H58" s="51" t="s">
        <v>22</v>
      </c>
      <c r="I58" s="62" t="s">
        <v>96</v>
      </c>
    </row>
    <row r="59" spans="2:9" s="49" customFormat="1" ht="18.75" customHeight="1">
      <c r="B59" s="50" t="s">
        <v>26</v>
      </c>
      <c r="C59" s="165" t="s">
        <v>14</v>
      </c>
      <c r="D59" s="165"/>
      <c r="E59" s="165"/>
      <c r="F59" s="165"/>
      <c r="G59" s="165"/>
      <c r="H59" s="165"/>
      <c r="I59" s="166"/>
    </row>
    <row r="60" spans="2:9" ht="18.75" customHeight="1">
      <c r="B60" s="54">
        <v>1</v>
      </c>
      <c r="C60" s="121" t="s">
        <v>10</v>
      </c>
      <c r="D60" s="53">
        <v>45981</v>
      </c>
      <c r="E60" s="53">
        <f>D60+2</f>
        <v>45983</v>
      </c>
      <c r="F60" s="53" t="s">
        <v>22</v>
      </c>
      <c r="G60" s="53" t="s">
        <v>39</v>
      </c>
      <c r="H60" s="63" t="s">
        <v>22</v>
      </c>
      <c r="I60" s="58" t="s">
        <v>109</v>
      </c>
    </row>
    <row r="61" spans="2:9" ht="18.75" customHeight="1">
      <c r="B61" s="54">
        <v>2</v>
      </c>
      <c r="C61" s="61" t="s">
        <v>11</v>
      </c>
      <c r="D61" s="53">
        <v>45981</v>
      </c>
      <c r="E61" s="52">
        <f t="shared" ref="E61:E74" si="4">E60+2</f>
        <v>45985</v>
      </c>
      <c r="F61" s="52" t="s">
        <v>22</v>
      </c>
      <c r="G61" s="53" t="s">
        <v>39</v>
      </c>
      <c r="H61" s="51" t="s">
        <v>22</v>
      </c>
      <c r="I61" s="58" t="s">
        <v>110</v>
      </c>
    </row>
    <row r="62" spans="2:9" ht="18.75" customHeight="1">
      <c r="B62" s="54">
        <v>3</v>
      </c>
      <c r="C62" s="61" t="s">
        <v>12</v>
      </c>
      <c r="D62" s="53">
        <v>45981</v>
      </c>
      <c r="E62" s="52">
        <f t="shared" si="4"/>
        <v>45987</v>
      </c>
      <c r="F62" s="52" t="s">
        <v>22</v>
      </c>
      <c r="G62" s="53" t="s">
        <v>39</v>
      </c>
      <c r="H62" s="51" t="s">
        <v>22</v>
      </c>
      <c r="I62" s="58" t="s">
        <v>110</v>
      </c>
    </row>
    <row r="63" spans="2:9" ht="18.75" customHeight="1">
      <c r="B63" s="54">
        <v>4</v>
      </c>
      <c r="C63" s="61" t="s">
        <v>64</v>
      </c>
      <c r="D63" s="53">
        <v>45981</v>
      </c>
      <c r="E63" s="52">
        <f t="shared" si="4"/>
        <v>45989</v>
      </c>
      <c r="F63" s="52" t="s">
        <v>22</v>
      </c>
      <c r="G63" s="53" t="s">
        <v>39</v>
      </c>
      <c r="H63" s="51" t="s">
        <v>22</v>
      </c>
      <c r="I63" s="58" t="s">
        <v>111</v>
      </c>
    </row>
    <row r="64" spans="2:9" ht="18.75" customHeight="1">
      <c r="B64" s="54">
        <v>5</v>
      </c>
      <c r="C64" s="61" t="s">
        <v>62</v>
      </c>
      <c r="D64" s="53">
        <v>45981</v>
      </c>
      <c r="E64" s="52">
        <f t="shared" si="4"/>
        <v>45991</v>
      </c>
      <c r="F64" s="52" t="s">
        <v>22</v>
      </c>
      <c r="G64" s="53" t="s">
        <v>39</v>
      </c>
      <c r="H64" s="51" t="s">
        <v>22</v>
      </c>
      <c r="I64" s="58" t="s">
        <v>111</v>
      </c>
    </row>
    <row r="65" spans="2:9" ht="18.75" customHeight="1">
      <c r="B65" s="54">
        <v>6</v>
      </c>
      <c r="C65" s="61" t="s">
        <v>63</v>
      </c>
      <c r="D65" s="53">
        <v>45981</v>
      </c>
      <c r="E65" s="52">
        <f t="shared" si="4"/>
        <v>45993</v>
      </c>
      <c r="F65" s="52" t="s">
        <v>22</v>
      </c>
      <c r="G65" s="53" t="s">
        <v>39</v>
      </c>
      <c r="H65" s="51" t="s">
        <v>22</v>
      </c>
      <c r="I65" s="58" t="s">
        <v>111</v>
      </c>
    </row>
    <row r="66" spans="2:9" ht="18.75" customHeight="1">
      <c r="B66" s="54">
        <v>7</v>
      </c>
      <c r="C66" s="61" t="s">
        <v>79</v>
      </c>
      <c r="D66" s="53">
        <v>45981</v>
      </c>
      <c r="E66" s="52">
        <f t="shared" si="4"/>
        <v>45995</v>
      </c>
      <c r="F66" s="52" t="s">
        <v>22</v>
      </c>
      <c r="G66" s="53" t="s">
        <v>39</v>
      </c>
      <c r="H66" s="51" t="s">
        <v>22</v>
      </c>
      <c r="I66" s="58" t="s">
        <v>109</v>
      </c>
    </row>
    <row r="67" spans="2:9" ht="18.75" customHeight="1">
      <c r="B67" s="54">
        <v>8</v>
      </c>
      <c r="C67" s="61" t="s">
        <v>80</v>
      </c>
      <c r="D67" s="53">
        <v>45981</v>
      </c>
      <c r="E67" s="52">
        <f t="shared" si="4"/>
        <v>45997</v>
      </c>
      <c r="F67" s="52" t="s">
        <v>22</v>
      </c>
      <c r="G67" s="53" t="s">
        <v>39</v>
      </c>
      <c r="H67" s="51" t="s">
        <v>22</v>
      </c>
      <c r="I67" s="58" t="s">
        <v>109</v>
      </c>
    </row>
    <row r="68" spans="2:9" ht="18.75" customHeight="1">
      <c r="B68" s="54">
        <v>9</v>
      </c>
      <c r="C68" s="61" t="s">
        <v>65</v>
      </c>
      <c r="D68" s="53">
        <v>45981</v>
      </c>
      <c r="E68" s="52">
        <f t="shared" si="4"/>
        <v>45999</v>
      </c>
      <c r="F68" s="52" t="s">
        <v>22</v>
      </c>
      <c r="G68" s="53" t="s">
        <v>39</v>
      </c>
      <c r="H68" s="51" t="s">
        <v>22</v>
      </c>
      <c r="I68" s="58" t="s">
        <v>109</v>
      </c>
    </row>
    <row r="69" spans="2:9" ht="18.75" customHeight="1">
      <c r="B69" s="54">
        <v>10</v>
      </c>
      <c r="C69" s="61" t="s">
        <v>81</v>
      </c>
      <c r="D69" s="53">
        <v>45981</v>
      </c>
      <c r="E69" s="52">
        <f t="shared" si="4"/>
        <v>46001</v>
      </c>
      <c r="F69" s="52" t="s">
        <v>22</v>
      </c>
      <c r="G69" s="53" t="s">
        <v>39</v>
      </c>
      <c r="H69" s="51" t="s">
        <v>22</v>
      </c>
      <c r="I69" s="58" t="s">
        <v>122</v>
      </c>
    </row>
    <row r="70" spans="2:9" ht="18.75" customHeight="1">
      <c r="B70" s="54">
        <v>11</v>
      </c>
      <c r="C70" s="61" t="s">
        <v>78</v>
      </c>
      <c r="D70" s="53">
        <v>45981</v>
      </c>
      <c r="E70" s="52">
        <f t="shared" si="4"/>
        <v>46003</v>
      </c>
      <c r="F70" s="52" t="s">
        <v>22</v>
      </c>
      <c r="G70" s="53" t="s">
        <v>39</v>
      </c>
      <c r="H70" s="51" t="s">
        <v>22</v>
      </c>
      <c r="I70" s="58" t="s">
        <v>109</v>
      </c>
    </row>
    <row r="71" spans="2:9" ht="18.75" customHeight="1">
      <c r="B71" s="54">
        <v>12</v>
      </c>
      <c r="C71" s="61" t="s">
        <v>77</v>
      </c>
      <c r="D71" s="53">
        <v>45981</v>
      </c>
      <c r="E71" s="52">
        <f t="shared" si="4"/>
        <v>46005</v>
      </c>
      <c r="F71" s="52" t="s">
        <v>22</v>
      </c>
      <c r="G71" s="53" t="s">
        <v>39</v>
      </c>
      <c r="H71" s="51" t="s">
        <v>22</v>
      </c>
      <c r="I71" s="58" t="s">
        <v>109</v>
      </c>
    </row>
    <row r="72" spans="2:9" ht="18.75" customHeight="1">
      <c r="B72" s="54">
        <v>13</v>
      </c>
      <c r="C72" s="61" t="s">
        <v>119</v>
      </c>
      <c r="D72" s="53">
        <v>45981</v>
      </c>
      <c r="E72" s="52">
        <f t="shared" si="4"/>
        <v>46007</v>
      </c>
      <c r="F72" s="52" t="s">
        <v>22</v>
      </c>
      <c r="G72" s="53" t="s">
        <v>39</v>
      </c>
      <c r="H72" s="51" t="s">
        <v>22</v>
      </c>
      <c r="I72" s="58" t="s">
        <v>109</v>
      </c>
    </row>
    <row r="73" spans="2:9" ht="18.75" customHeight="1">
      <c r="B73" s="54">
        <v>14</v>
      </c>
      <c r="C73" s="61" t="s">
        <v>120</v>
      </c>
      <c r="D73" s="53">
        <v>45981</v>
      </c>
      <c r="E73" s="52">
        <f t="shared" si="4"/>
        <v>46009</v>
      </c>
      <c r="F73" s="52" t="s">
        <v>22</v>
      </c>
      <c r="G73" s="53" t="s">
        <v>39</v>
      </c>
      <c r="H73" s="51" t="s">
        <v>22</v>
      </c>
      <c r="I73" s="58" t="s">
        <v>109</v>
      </c>
    </row>
    <row r="74" spans="2:9" ht="18.75" customHeight="1">
      <c r="B74" s="54">
        <v>15</v>
      </c>
      <c r="C74" s="61" t="s">
        <v>121</v>
      </c>
      <c r="D74" s="53">
        <v>45981</v>
      </c>
      <c r="E74" s="52">
        <f t="shared" si="4"/>
        <v>46011</v>
      </c>
      <c r="F74" s="52" t="s">
        <v>22</v>
      </c>
      <c r="G74" s="53" t="s">
        <v>39</v>
      </c>
      <c r="H74" s="51" t="s">
        <v>22</v>
      </c>
      <c r="I74" s="58" t="s">
        <v>109</v>
      </c>
    </row>
    <row r="75" spans="2:9" s="49" customFormat="1" ht="18.75" customHeight="1">
      <c r="B75" s="50" t="s">
        <v>30</v>
      </c>
      <c r="C75" s="165" t="s">
        <v>31</v>
      </c>
      <c r="D75" s="165"/>
      <c r="E75" s="165"/>
      <c r="F75" s="165"/>
      <c r="G75" s="165"/>
      <c r="H75" s="165"/>
      <c r="I75" s="166"/>
    </row>
    <row r="76" spans="2:9" s="49" customFormat="1" ht="38.25">
      <c r="B76" s="57"/>
      <c r="C76" s="167" t="s">
        <v>32</v>
      </c>
      <c r="D76" s="167"/>
      <c r="E76" s="167"/>
      <c r="F76" s="56" t="s">
        <v>33</v>
      </c>
      <c r="G76" s="56" t="s">
        <v>34</v>
      </c>
      <c r="H76" s="56" t="s">
        <v>35</v>
      </c>
      <c r="I76" s="55"/>
    </row>
    <row r="77" spans="2:9" ht="18.75" customHeight="1">
      <c r="B77" s="54">
        <v>1</v>
      </c>
      <c r="C77" s="168" t="s">
        <v>36</v>
      </c>
      <c r="D77" s="168"/>
      <c r="E77" s="168"/>
      <c r="F77" s="53">
        <v>45960</v>
      </c>
      <c r="G77" s="53">
        <v>45980</v>
      </c>
      <c r="H77" s="51">
        <f>G77-F77</f>
        <v>20</v>
      </c>
      <c r="I77" s="122"/>
    </row>
    <row r="78" spans="2:9" ht="18.75" customHeight="1">
      <c r="B78" s="54">
        <v>2</v>
      </c>
      <c r="C78" s="168" t="s">
        <v>37</v>
      </c>
      <c r="D78" s="168"/>
      <c r="E78" s="168"/>
      <c r="F78" s="53">
        <v>45964</v>
      </c>
      <c r="G78" s="52">
        <v>46030</v>
      </c>
      <c r="H78" s="51">
        <f>G78-F78</f>
        <v>66</v>
      </c>
      <c r="I78" s="122" t="s">
        <v>131</v>
      </c>
    </row>
    <row r="79" spans="2:9" ht="18.75" customHeight="1">
      <c r="B79" s="54">
        <v>3</v>
      </c>
      <c r="C79" s="168" t="s">
        <v>38</v>
      </c>
      <c r="D79" s="168"/>
      <c r="E79" s="168"/>
      <c r="F79" s="53">
        <v>45966</v>
      </c>
      <c r="G79" s="52">
        <v>46030</v>
      </c>
      <c r="H79" s="51">
        <f>G79-F79</f>
        <v>64</v>
      </c>
      <c r="I79" s="122" t="s">
        <v>131</v>
      </c>
    </row>
    <row r="80" spans="2:9" ht="18.75" customHeight="1">
      <c r="B80" s="54">
        <v>4</v>
      </c>
      <c r="C80" s="168" t="s">
        <v>113</v>
      </c>
      <c r="D80" s="168"/>
      <c r="E80" s="168"/>
      <c r="F80" s="53" t="s">
        <v>22</v>
      </c>
      <c r="G80" s="52" t="s">
        <v>22</v>
      </c>
      <c r="H80" s="51" t="s">
        <v>22</v>
      </c>
      <c r="I80" s="122" t="s">
        <v>116</v>
      </c>
    </row>
    <row r="81" spans="2:9" ht="18.75" customHeight="1">
      <c r="B81" s="54">
        <v>5</v>
      </c>
      <c r="C81" s="168" t="s">
        <v>114</v>
      </c>
      <c r="D81" s="168"/>
      <c r="E81" s="168"/>
      <c r="F81" s="53" t="s">
        <v>22</v>
      </c>
      <c r="G81" s="52" t="s">
        <v>22</v>
      </c>
      <c r="H81" s="51" t="s">
        <v>22</v>
      </c>
      <c r="I81" s="122" t="s">
        <v>116</v>
      </c>
    </row>
    <row r="82" spans="2:9" ht="18.75" customHeight="1" thickBot="1">
      <c r="B82" s="126">
        <v>6</v>
      </c>
      <c r="C82" s="186" t="s">
        <v>115</v>
      </c>
      <c r="D82" s="186"/>
      <c r="E82" s="186"/>
      <c r="F82" s="127" t="s">
        <v>22</v>
      </c>
      <c r="G82" s="128" t="s">
        <v>22</v>
      </c>
      <c r="H82" s="129" t="s">
        <v>22</v>
      </c>
      <c r="I82" s="130" t="s">
        <v>116</v>
      </c>
    </row>
  </sheetData>
  <mergeCells count="20">
    <mergeCell ref="C78:E78"/>
    <mergeCell ref="C79:E79"/>
    <mergeCell ref="C80:E80"/>
    <mergeCell ref="C81:E81"/>
    <mergeCell ref="C82:E82"/>
    <mergeCell ref="C42:I42"/>
    <mergeCell ref="C76:E76"/>
    <mergeCell ref="C77:E77"/>
    <mergeCell ref="B2:I2"/>
    <mergeCell ref="B3:I3"/>
    <mergeCell ref="C45:I45"/>
    <mergeCell ref="C59:I59"/>
    <mergeCell ref="C11:I11"/>
    <mergeCell ref="B9:I9"/>
    <mergeCell ref="C7:I7"/>
    <mergeCell ref="C4:I4"/>
    <mergeCell ref="C75:I75"/>
    <mergeCell ref="C6:I6"/>
    <mergeCell ref="C5:I5"/>
    <mergeCell ref="C8:I8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T22"/>
  <sheetViews>
    <sheetView tabSelected="1" view="pageBreakPreview" zoomScale="95" zoomScaleNormal="85" zoomScaleSheetLayoutView="95" workbookViewId="0">
      <pane xSplit="4" ySplit="5" topLeftCell="EH6" activePane="bottomRight" state="frozen"/>
      <selection pane="topRight" activeCell="E1" sqref="E1"/>
      <selection pane="bottomLeft" activeCell="A6" sqref="A6"/>
      <selection pane="bottomRight" activeCell="ES16" sqref="ES16"/>
    </sheetView>
  </sheetViews>
  <sheetFormatPr defaultColWidth="8.85546875" defaultRowHeight="15.75" outlineLevelCol="1"/>
  <cols>
    <col min="1" max="1" width="8.85546875" style="65"/>
    <col min="2" max="2" width="5.28515625" style="65" customWidth="1"/>
    <col min="3" max="3" width="51.42578125" style="65" customWidth="1"/>
    <col min="4" max="4" width="14.140625" style="65" customWidth="1"/>
    <col min="5" max="5" width="4.42578125" style="66" hidden="1" customWidth="1" outlineLevel="1"/>
    <col min="6" max="6" width="4.42578125" style="65" hidden="1" customWidth="1" outlineLevel="1"/>
    <col min="7" max="7" width="4.42578125" style="66" hidden="1" customWidth="1" outlineLevel="1"/>
    <col min="8" max="8" width="4.42578125" style="65" hidden="1" customWidth="1" outlineLevel="1"/>
    <col min="9" max="9" width="4.42578125" style="66" hidden="1" customWidth="1" outlineLevel="1"/>
    <col min="10" max="10" width="4.42578125" style="65" hidden="1" customWidth="1" outlineLevel="1"/>
    <col min="11" max="11" width="4.42578125" style="66" hidden="1" customWidth="1" outlineLevel="1"/>
    <col min="12" max="12" width="4.42578125" style="65" hidden="1" customWidth="1" outlineLevel="1"/>
    <col min="13" max="13" width="4.42578125" style="66" hidden="1" customWidth="1" outlineLevel="1"/>
    <col min="14" max="14" width="4.42578125" style="65" hidden="1" customWidth="1" outlineLevel="1"/>
    <col min="15" max="15" width="4.42578125" style="66" hidden="1" customWidth="1" outlineLevel="1"/>
    <col min="16" max="16" width="4.42578125" style="65" hidden="1" customWidth="1" outlineLevel="1"/>
    <col min="17" max="17" width="4.42578125" style="66" hidden="1" customWidth="1" outlineLevel="1"/>
    <col min="18" max="18" width="4.42578125" style="65" hidden="1" customWidth="1" outlineLevel="1"/>
    <col min="19" max="19" width="4.42578125" style="66" hidden="1" customWidth="1" outlineLevel="1"/>
    <col min="20" max="20" width="4.42578125" style="65" hidden="1" customWidth="1" outlineLevel="1"/>
    <col min="21" max="21" width="4.42578125" style="66" hidden="1" customWidth="1" outlineLevel="1"/>
    <col min="22" max="22" width="4.42578125" style="65" hidden="1" customWidth="1" outlineLevel="1"/>
    <col min="23" max="23" width="4.42578125" style="66" hidden="1" customWidth="1" outlineLevel="1"/>
    <col min="24" max="24" width="4.42578125" style="65" hidden="1" customWidth="1" outlineLevel="1"/>
    <col min="25" max="25" width="4.42578125" style="66" hidden="1" customWidth="1" outlineLevel="1"/>
    <col min="26" max="26" width="4.42578125" style="65" hidden="1" customWidth="1" outlineLevel="1"/>
    <col min="27" max="27" width="4.42578125" style="66" hidden="1" customWidth="1" outlineLevel="1"/>
    <col min="28" max="28" width="4.42578125" style="65" hidden="1" customWidth="1" outlineLevel="1"/>
    <col min="29" max="29" width="4.42578125" style="66" hidden="1" customWidth="1" outlineLevel="1"/>
    <col min="30" max="30" width="4.42578125" style="65" hidden="1" customWidth="1" outlineLevel="1"/>
    <col min="31" max="31" width="4.42578125" style="66" hidden="1" customWidth="1" outlineLevel="1"/>
    <col min="32" max="32" width="4.42578125" style="65" hidden="1" customWidth="1" outlineLevel="1"/>
    <col min="33" max="33" width="4.42578125" style="66" hidden="1" customWidth="1" outlineLevel="1"/>
    <col min="34" max="34" width="4.28515625" style="65" hidden="1" customWidth="1" outlineLevel="1"/>
    <col min="35" max="35" width="4.42578125" style="120" hidden="1" customWidth="1" outlineLevel="1"/>
    <col min="36" max="36" width="4.42578125" style="65" hidden="1" customWidth="1" outlineLevel="1"/>
    <col min="37" max="37" width="4.42578125" style="120" hidden="1" customWidth="1" outlineLevel="1"/>
    <col min="38" max="38" width="4.42578125" style="65" hidden="1" customWidth="1" outlineLevel="1"/>
    <col min="39" max="39" width="4.42578125" style="120" hidden="1" customWidth="1" outlineLevel="1"/>
    <col min="40" max="40" width="4.42578125" style="65" hidden="1" customWidth="1" outlineLevel="1"/>
    <col min="41" max="41" width="4.42578125" style="120" hidden="1" customWidth="1" outlineLevel="1"/>
    <col min="42" max="42" width="4.42578125" style="65" hidden="1" customWidth="1" outlineLevel="1"/>
    <col min="43" max="43" width="4.42578125" style="120" hidden="1" customWidth="1" outlineLevel="1"/>
    <col min="44" max="44" width="4.42578125" style="65" hidden="1" customWidth="1" outlineLevel="1"/>
    <col min="45" max="45" width="4.42578125" style="120" hidden="1" customWidth="1" outlineLevel="1"/>
    <col min="46" max="46" width="4.42578125" style="65" hidden="1" customWidth="1" outlineLevel="1"/>
    <col min="47" max="47" width="4.42578125" style="120" hidden="1" customWidth="1" outlineLevel="1"/>
    <col min="48" max="48" width="4.42578125" style="65" hidden="1" customWidth="1" outlineLevel="1"/>
    <col min="49" max="49" width="4.42578125" style="120" hidden="1" customWidth="1" outlineLevel="1"/>
    <col min="50" max="50" width="4.42578125" style="65" hidden="1" customWidth="1" outlineLevel="1"/>
    <col min="51" max="51" width="4.42578125" style="120" hidden="1" customWidth="1" outlineLevel="1"/>
    <col min="52" max="52" width="4.42578125" style="65" hidden="1" customWidth="1" outlineLevel="1"/>
    <col min="53" max="53" width="4.42578125" style="120" hidden="1" customWidth="1" outlineLevel="1"/>
    <col min="54" max="54" width="4.42578125" style="65" hidden="1" customWidth="1" outlineLevel="1"/>
    <col min="55" max="55" width="4.42578125" style="120" hidden="1" customWidth="1" outlineLevel="1"/>
    <col min="56" max="56" width="4.42578125" style="65" hidden="1" customWidth="1" outlineLevel="1"/>
    <col min="57" max="57" width="4.42578125" style="120" hidden="1" customWidth="1" outlineLevel="1"/>
    <col min="58" max="58" width="4.42578125" style="65" hidden="1" customWidth="1" outlineLevel="1"/>
    <col min="59" max="59" width="4.42578125" style="120" hidden="1" customWidth="1" outlineLevel="1"/>
    <col min="60" max="60" width="4.42578125" style="65" hidden="1" customWidth="1" outlineLevel="1"/>
    <col min="61" max="61" width="4.42578125" style="120" hidden="1" customWidth="1" outlineLevel="1"/>
    <col min="62" max="62" width="4.42578125" style="65" hidden="1" customWidth="1" outlineLevel="1"/>
    <col min="63" max="63" width="4.42578125" style="120" hidden="1" customWidth="1" outlineLevel="1"/>
    <col min="64" max="64" width="4.42578125" style="65" hidden="1" customWidth="1" outlineLevel="1"/>
    <col min="65" max="65" width="4.42578125" style="120" hidden="1" customWidth="1" outlineLevel="1"/>
    <col min="66" max="66" width="4.42578125" style="120" customWidth="1" collapsed="1"/>
    <col min="67" max="67" width="4.42578125" style="65" customWidth="1"/>
    <col min="68" max="68" width="4.42578125" style="120" customWidth="1"/>
    <col min="69" max="69" width="4.42578125" style="65" customWidth="1"/>
    <col min="70" max="70" width="4.42578125" style="120" customWidth="1"/>
    <col min="71" max="71" width="4.42578125" style="65" customWidth="1"/>
    <col min="72" max="72" width="4.42578125" style="120" customWidth="1"/>
    <col min="73" max="73" width="4.42578125" style="65" customWidth="1"/>
    <col min="74" max="74" width="4.42578125" style="120" customWidth="1"/>
    <col min="75" max="75" width="4.42578125" style="65" customWidth="1"/>
    <col min="76" max="76" width="4.42578125" style="120" customWidth="1"/>
    <col min="77" max="77" width="4.42578125" style="65" customWidth="1"/>
    <col min="78" max="78" width="4.42578125" style="120" customWidth="1"/>
    <col min="79" max="79" width="4.42578125" style="65" customWidth="1"/>
    <col min="80" max="80" width="4.42578125" style="120" customWidth="1"/>
    <col min="81" max="81" width="4.42578125" style="65" customWidth="1"/>
    <col min="82" max="82" width="4.42578125" style="120" customWidth="1"/>
    <col min="83" max="83" width="4.42578125" style="65" customWidth="1"/>
    <col min="84" max="84" width="4.42578125" style="120" customWidth="1"/>
    <col min="85" max="85" width="4.42578125" style="65" customWidth="1"/>
    <col min="86" max="86" width="4.42578125" style="120" customWidth="1"/>
    <col min="87" max="87" width="4.42578125" style="65" customWidth="1"/>
    <col min="88" max="88" width="4.42578125" style="120" customWidth="1"/>
    <col min="89" max="89" width="4.42578125" style="65" customWidth="1"/>
    <col min="90" max="90" width="4.42578125" style="120" customWidth="1"/>
    <col min="91" max="91" width="4.42578125" style="65" customWidth="1"/>
    <col min="92" max="92" width="4.42578125" style="120" customWidth="1"/>
    <col min="93" max="93" width="4.42578125" style="65" customWidth="1"/>
    <col min="94" max="94" width="4.42578125" style="120" customWidth="1"/>
    <col min="95" max="95" width="4.42578125" style="65" customWidth="1"/>
    <col min="96" max="96" width="4.42578125" style="120" customWidth="1"/>
    <col min="97" max="97" width="4.42578125" style="65" customWidth="1"/>
    <col min="98" max="98" width="4.42578125" style="120" customWidth="1"/>
    <col min="99" max="99" width="4.42578125" style="65" customWidth="1"/>
    <col min="100" max="100" width="4.42578125" style="120" customWidth="1"/>
    <col min="101" max="101" width="4.42578125" style="65" customWidth="1"/>
    <col min="102" max="102" width="4.42578125" style="120" customWidth="1"/>
    <col min="103" max="103" width="4.42578125" style="65" customWidth="1"/>
    <col min="104" max="104" width="4.42578125" style="120" customWidth="1"/>
    <col min="105" max="105" width="4.42578125" style="65" customWidth="1"/>
    <col min="106" max="106" width="4.42578125" style="120" customWidth="1"/>
    <col min="107" max="107" width="4.42578125" style="65" customWidth="1"/>
    <col min="108" max="108" width="4.42578125" style="120" customWidth="1"/>
    <col min="109" max="109" width="4.42578125" style="65" customWidth="1"/>
    <col min="110" max="110" width="4.42578125" style="120" customWidth="1"/>
    <col min="111" max="111" width="4.42578125" style="65" customWidth="1"/>
    <col min="112" max="112" width="4.42578125" style="120" customWidth="1"/>
    <col min="113" max="113" width="4.42578125" style="65" customWidth="1"/>
    <col min="114" max="114" width="4.42578125" style="120" customWidth="1"/>
    <col min="115" max="115" width="4.42578125" style="65" customWidth="1"/>
    <col min="116" max="116" width="4.42578125" style="120" customWidth="1"/>
    <col min="117" max="117" width="4.42578125" style="65" customWidth="1"/>
    <col min="118" max="118" width="4.42578125" style="120" customWidth="1"/>
    <col min="119" max="119" width="4.42578125" style="65" customWidth="1"/>
    <col min="120" max="120" width="4.42578125" style="120" customWidth="1"/>
    <col min="121" max="121" width="4.42578125" style="65" customWidth="1"/>
    <col min="122" max="122" width="4.42578125" style="120" customWidth="1"/>
    <col min="123" max="123" width="4.42578125" style="65" customWidth="1"/>
    <col min="124" max="124" width="4.42578125" style="120" customWidth="1"/>
    <col min="125" max="125" width="4.42578125" style="65" customWidth="1"/>
    <col min="126" max="126" width="4.42578125" style="120" customWidth="1"/>
    <col min="127" max="127" width="4.42578125" style="65" customWidth="1"/>
    <col min="128" max="128" width="4.42578125" style="120" customWidth="1"/>
    <col min="129" max="129" width="4.42578125" style="65" customWidth="1"/>
    <col min="130" max="130" width="4.42578125" style="120" customWidth="1"/>
    <col min="131" max="131" width="4.42578125" style="65" customWidth="1"/>
    <col min="132" max="132" width="4.42578125" style="120" customWidth="1"/>
    <col min="133" max="133" width="4.42578125" style="65" customWidth="1"/>
    <col min="134" max="134" width="4.42578125" style="120" customWidth="1"/>
    <col min="135" max="135" width="4.28515625" style="65" customWidth="1"/>
    <col min="136" max="136" width="4.42578125" style="120" customWidth="1"/>
    <col min="137" max="137" width="4.42578125" style="65" customWidth="1"/>
    <col min="138" max="138" width="4.42578125" style="120" customWidth="1"/>
    <col min="139" max="139" width="4.42578125" style="65" customWidth="1"/>
    <col min="140" max="140" width="4.42578125" style="120" customWidth="1"/>
    <col min="141" max="141" width="4.42578125" style="65" customWidth="1"/>
    <col min="142" max="142" width="4.42578125" style="120" customWidth="1"/>
    <col min="143" max="143" width="4.28515625" style="65" customWidth="1"/>
    <col min="144" max="144" width="4.42578125" style="120" customWidth="1"/>
    <col min="145" max="145" width="4.42578125" style="65" customWidth="1"/>
    <col min="146" max="146" width="4.42578125" style="120" customWidth="1"/>
    <col min="147" max="147" width="4.42578125" style="65" customWidth="1"/>
    <col min="148" max="148" width="4.42578125" style="120" customWidth="1"/>
    <col min="149" max="149" width="4.42578125" style="65" customWidth="1"/>
    <col min="150" max="150" width="4.42578125" style="120" customWidth="1"/>
    <col min="151" max="16384" width="8.85546875" style="65"/>
  </cols>
  <sheetData>
    <row r="2" spans="2:150" s="67" customFormat="1" ht="34.15" customHeight="1">
      <c r="B2" s="189" t="s">
        <v>97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</row>
    <row r="3" spans="2:150" s="67" customFormat="1" ht="18.75">
      <c r="B3" s="191" t="s">
        <v>42</v>
      </c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  <c r="BG3" s="192"/>
      <c r="BH3" s="192"/>
      <c r="BI3" s="192"/>
      <c r="BJ3" s="192"/>
      <c r="BK3" s="192"/>
      <c r="BL3" s="192"/>
      <c r="BM3" s="192"/>
      <c r="BN3" s="192"/>
      <c r="BO3" s="192"/>
      <c r="BP3" s="192"/>
      <c r="BQ3" s="192"/>
      <c r="BR3" s="192"/>
      <c r="BS3" s="192"/>
      <c r="BT3" s="192"/>
      <c r="BU3" s="192"/>
      <c r="BV3" s="192"/>
      <c r="BW3" s="192"/>
      <c r="BX3" s="192"/>
      <c r="BY3" s="192"/>
      <c r="BZ3" s="192"/>
      <c r="CA3" s="192"/>
      <c r="CB3" s="192"/>
      <c r="CC3" s="192"/>
      <c r="CD3" s="192"/>
      <c r="CE3" s="192"/>
      <c r="CF3" s="192"/>
      <c r="CG3" s="192"/>
      <c r="CH3" s="192"/>
      <c r="CI3" s="192"/>
      <c r="CJ3" s="192"/>
      <c r="CK3" s="192"/>
      <c r="CL3" s="192"/>
      <c r="CM3" s="192"/>
      <c r="CN3" s="192"/>
      <c r="CO3" s="192"/>
      <c r="CP3" s="192"/>
      <c r="CQ3" s="192"/>
      <c r="CR3" s="192"/>
    </row>
    <row r="4" spans="2:150" s="67" customFormat="1" ht="24.6" customHeight="1">
      <c r="B4" s="194" t="s">
        <v>1</v>
      </c>
      <c r="C4" s="194" t="s">
        <v>43</v>
      </c>
      <c r="D4" s="195" t="s">
        <v>44</v>
      </c>
      <c r="E4" s="193">
        <v>45962</v>
      </c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>
        <v>45992</v>
      </c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3">
        <f>AI4+31</f>
        <v>46023</v>
      </c>
      <c r="BO4" s="194"/>
      <c r="BP4" s="194"/>
      <c r="BQ4" s="194"/>
      <c r="BR4" s="194"/>
      <c r="BS4" s="194"/>
      <c r="BT4" s="194"/>
      <c r="BU4" s="194"/>
      <c r="BV4" s="194"/>
      <c r="BW4" s="194"/>
      <c r="BX4" s="194"/>
      <c r="BY4" s="194"/>
      <c r="BZ4" s="194"/>
      <c r="CA4" s="194"/>
      <c r="CB4" s="194"/>
      <c r="CC4" s="194"/>
      <c r="CD4" s="194"/>
      <c r="CE4" s="194"/>
      <c r="CF4" s="194"/>
      <c r="CG4" s="194"/>
      <c r="CH4" s="194"/>
      <c r="CI4" s="194"/>
      <c r="CJ4" s="194"/>
      <c r="CK4" s="194"/>
      <c r="CL4" s="194"/>
      <c r="CM4" s="194"/>
      <c r="CN4" s="194"/>
      <c r="CO4" s="194"/>
      <c r="CP4" s="194"/>
      <c r="CQ4" s="194"/>
      <c r="CR4" s="194"/>
    </row>
    <row r="5" spans="2:150" s="67" customFormat="1" ht="70.150000000000006" customHeight="1">
      <c r="B5" s="194"/>
      <c r="C5" s="194"/>
      <c r="D5" s="195"/>
      <c r="E5" s="137">
        <v>45962</v>
      </c>
      <c r="F5" s="138">
        <f t="shared" ref="F5:AH5" si="0">E5+1</f>
        <v>45963</v>
      </c>
      <c r="G5" s="137">
        <f t="shared" si="0"/>
        <v>45964</v>
      </c>
      <c r="H5" s="138">
        <f t="shared" si="0"/>
        <v>45965</v>
      </c>
      <c r="I5" s="137">
        <f t="shared" si="0"/>
        <v>45966</v>
      </c>
      <c r="J5" s="138">
        <f t="shared" si="0"/>
        <v>45967</v>
      </c>
      <c r="K5" s="137">
        <f t="shared" si="0"/>
        <v>45968</v>
      </c>
      <c r="L5" s="138">
        <f t="shared" si="0"/>
        <v>45969</v>
      </c>
      <c r="M5" s="137">
        <f t="shared" si="0"/>
        <v>45970</v>
      </c>
      <c r="N5" s="138">
        <f t="shared" si="0"/>
        <v>45971</v>
      </c>
      <c r="O5" s="137">
        <f t="shared" si="0"/>
        <v>45972</v>
      </c>
      <c r="P5" s="138">
        <f t="shared" si="0"/>
        <v>45973</v>
      </c>
      <c r="Q5" s="137">
        <f t="shared" si="0"/>
        <v>45974</v>
      </c>
      <c r="R5" s="138">
        <f t="shared" si="0"/>
        <v>45975</v>
      </c>
      <c r="S5" s="137">
        <f t="shared" si="0"/>
        <v>45976</v>
      </c>
      <c r="T5" s="138">
        <f t="shared" si="0"/>
        <v>45977</v>
      </c>
      <c r="U5" s="137">
        <f t="shared" si="0"/>
        <v>45978</v>
      </c>
      <c r="V5" s="138">
        <f t="shared" si="0"/>
        <v>45979</v>
      </c>
      <c r="W5" s="137">
        <f t="shared" si="0"/>
        <v>45980</v>
      </c>
      <c r="X5" s="138">
        <f t="shared" si="0"/>
        <v>45981</v>
      </c>
      <c r="Y5" s="137">
        <f t="shared" si="0"/>
        <v>45982</v>
      </c>
      <c r="Z5" s="138">
        <f t="shared" si="0"/>
        <v>45983</v>
      </c>
      <c r="AA5" s="137">
        <f t="shared" si="0"/>
        <v>45984</v>
      </c>
      <c r="AB5" s="138">
        <f t="shared" si="0"/>
        <v>45985</v>
      </c>
      <c r="AC5" s="137">
        <f t="shared" si="0"/>
        <v>45986</v>
      </c>
      <c r="AD5" s="138">
        <f t="shared" si="0"/>
        <v>45987</v>
      </c>
      <c r="AE5" s="137">
        <f t="shared" si="0"/>
        <v>45988</v>
      </c>
      <c r="AF5" s="138">
        <f t="shared" si="0"/>
        <v>45989</v>
      </c>
      <c r="AG5" s="137">
        <f t="shared" si="0"/>
        <v>45990</v>
      </c>
      <c r="AH5" s="138">
        <f t="shared" si="0"/>
        <v>45991</v>
      </c>
      <c r="AI5" s="139">
        <v>45992</v>
      </c>
      <c r="AJ5" s="138">
        <v>45993</v>
      </c>
      <c r="AK5" s="139">
        <v>45994</v>
      </c>
      <c r="AL5" s="138">
        <v>45995</v>
      </c>
      <c r="AM5" s="139">
        <v>45996</v>
      </c>
      <c r="AN5" s="138">
        <v>45997</v>
      </c>
      <c r="AO5" s="139">
        <v>45998</v>
      </c>
      <c r="AP5" s="138">
        <v>45999</v>
      </c>
      <c r="AQ5" s="139">
        <v>46000</v>
      </c>
      <c r="AR5" s="138">
        <v>46001</v>
      </c>
      <c r="AS5" s="139">
        <v>46002</v>
      </c>
      <c r="AT5" s="138">
        <v>46003</v>
      </c>
      <c r="AU5" s="139">
        <v>46004</v>
      </c>
      <c r="AV5" s="138">
        <v>46005</v>
      </c>
      <c r="AW5" s="139">
        <v>46006</v>
      </c>
      <c r="AX5" s="138">
        <v>46007</v>
      </c>
      <c r="AY5" s="139">
        <v>46008</v>
      </c>
      <c r="AZ5" s="138">
        <v>46009</v>
      </c>
      <c r="BA5" s="139">
        <v>46010</v>
      </c>
      <c r="BB5" s="138">
        <v>46011</v>
      </c>
      <c r="BC5" s="139">
        <v>46012</v>
      </c>
      <c r="BD5" s="138">
        <v>46013</v>
      </c>
      <c r="BE5" s="139">
        <v>46014</v>
      </c>
      <c r="BF5" s="138">
        <v>46015</v>
      </c>
      <c r="BG5" s="139">
        <v>46016</v>
      </c>
      <c r="BH5" s="138">
        <v>46017</v>
      </c>
      <c r="BI5" s="139">
        <v>46018</v>
      </c>
      <c r="BJ5" s="138">
        <v>46019</v>
      </c>
      <c r="BK5" s="139">
        <v>46020</v>
      </c>
      <c r="BL5" s="138">
        <v>46021</v>
      </c>
      <c r="BM5" s="139">
        <v>46022</v>
      </c>
      <c r="BN5" s="139">
        <v>46023</v>
      </c>
      <c r="BO5" s="138">
        <f>BN5+1</f>
        <v>46024</v>
      </c>
      <c r="BP5" s="139">
        <f>BO5+1</f>
        <v>46025</v>
      </c>
      <c r="BQ5" s="138">
        <f t="shared" ref="BQ5:CR5" si="1">BP5+1</f>
        <v>46026</v>
      </c>
      <c r="BR5" s="139">
        <f t="shared" si="1"/>
        <v>46027</v>
      </c>
      <c r="BS5" s="138">
        <f t="shared" si="1"/>
        <v>46028</v>
      </c>
      <c r="BT5" s="139">
        <f t="shared" si="1"/>
        <v>46029</v>
      </c>
      <c r="BU5" s="138">
        <f t="shared" si="1"/>
        <v>46030</v>
      </c>
      <c r="BV5" s="139">
        <f t="shared" si="1"/>
        <v>46031</v>
      </c>
      <c r="BW5" s="138">
        <f t="shared" si="1"/>
        <v>46032</v>
      </c>
      <c r="BX5" s="139">
        <f t="shared" si="1"/>
        <v>46033</v>
      </c>
      <c r="BY5" s="138">
        <f t="shared" si="1"/>
        <v>46034</v>
      </c>
      <c r="BZ5" s="139">
        <f t="shared" si="1"/>
        <v>46035</v>
      </c>
      <c r="CA5" s="138">
        <f t="shared" si="1"/>
        <v>46036</v>
      </c>
      <c r="CB5" s="139">
        <f t="shared" si="1"/>
        <v>46037</v>
      </c>
      <c r="CC5" s="138">
        <f t="shared" si="1"/>
        <v>46038</v>
      </c>
      <c r="CD5" s="139">
        <f t="shared" si="1"/>
        <v>46039</v>
      </c>
      <c r="CE5" s="138">
        <f t="shared" si="1"/>
        <v>46040</v>
      </c>
      <c r="CF5" s="139">
        <f t="shared" si="1"/>
        <v>46041</v>
      </c>
      <c r="CG5" s="138">
        <f t="shared" si="1"/>
        <v>46042</v>
      </c>
      <c r="CH5" s="139">
        <f t="shared" si="1"/>
        <v>46043</v>
      </c>
      <c r="CI5" s="138">
        <f t="shared" si="1"/>
        <v>46044</v>
      </c>
      <c r="CJ5" s="139">
        <f t="shared" si="1"/>
        <v>46045</v>
      </c>
      <c r="CK5" s="138">
        <f t="shared" si="1"/>
        <v>46046</v>
      </c>
      <c r="CL5" s="139">
        <f t="shared" si="1"/>
        <v>46047</v>
      </c>
      <c r="CM5" s="138">
        <f t="shared" si="1"/>
        <v>46048</v>
      </c>
      <c r="CN5" s="139">
        <f t="shared" si="1"/>
        <v>46049</v>
      </c>
      <c r="CO5" s="138">
        <f t="shared" si="1"/>
        <v>46050</v>
      </c>
      <c r="CP5" s="139">
        <f t="shared" si="1"/>
        <v>46051</v>
      </c>
      <c r="CQ5" s="138">
        <f t="shared" si="1"/>
        <v>46052</v>
      </c>
      <c r="CR5" s="139">
        <f t="shared" si="1"/>
        <v>46053</v>
      </c>
      <c r="CS5" s="138">
        <f>CR5+1</f>
        <v>46054</v>
      </c>
      <c r="CT5" s="139">
        <f t="shared" ref="CT5" si="2">CS5+1</f>
        <v>46055</v>
      </c>
      <c r="CU5" s="138">
        <f t="shared" ref="CU5" si="3">CT5+1</f>
        <v>46056</v>
      </c>
      <c r="CV5" s="139">
        <f t="shared" ref="CV5" si="4">CU5+1</f>
        <v>46057</v>
      </c>
      <c r="CW5" s="138">
        <f>CV5+1</f>
        <v>46058</v>
      </c>
      <c r="CX5" s="139">
        <f t="shared" ref="CX5" si="5">CW5+1</f>
        <v>46059</v>
      </c>
      <c r="CY5" s="138">
        <f t="shared" ref="CY5" si="6">CX5+1</f>
        <v>46060</v>
      </c>
      <c r="CZ5" s="139">
        <f t="shared" ref="CZ5" si="7">CY5+1</f>
        <v>46061</v>
      </c>
      <c r="DA5" s="138">
        <f>CZ5+1</f>
        <v>46062</v>
      </c>
      <c r="DB5" s="139">
        <f t="shared" ref="DB5" si="8">DA5+1</f>
        <v>46063</v>
      </c>
      <c r="DC5" s="138">
        <f t="shared" ref="DC5" si="9">DB5+1</f>
        <v>46064</v>
      </c>
      <c r="DD5" s="139">
        <f t="shared" ref="DD5" si="10">DC5+1</f>
        <v>46065</v>
      </c>
      <c r="DE5" s="138">
        <f>DD5+1</f>
        <v>46066</v>
      </c>
      <c r="DF5" s="139">
        <f t="shared" ref="DF5" si="11">DE5+1</f>
        <v>46067</v>
      </c>
      <c r="DG5" s="138">
        <f t="shared" ref="DG5" si="12">DF5+1</f>
        <v>46068</v>
      </c>
      <c r="DH5" s="139">
        <f t="shared" ref="DH5" si="13">DG5+1</f>
        <v>46069</v>
      </c>
      <c r="DI5" s="138">
        <f>DH5+1</f>
        <v>46070</v>
      </c>
      <c r="DJ5" s="139">
        <f t="shared" ref="DJ5" si="14">DI5+1</f>
        <v>46071</v>
      </c>
      <c r="DK5" s="138">
        <f t="shared" ref="DK5" si="15">DJ5+1</f>
        <v>46072</v>
      </c>
      <c r="DL5" s="139">
        <f t="shared" ref="DL5" si="16">DK5+1</f>
        <v>46073</v>
      </c>
      <c r="DM5" s="138">
        <f>DL5+1</f>
        <v>46074</v>
      </c>
      <c r="DN5" s="139">
        <f t="shared" ref="DN5" si="17">DM5+1</f>
        <v>46075</v>
      </c>
      <c r="DO5" s="138">
        <f t="shared" ref="DO5" si="18">DN5+1</f>
        <v>46076</v>
      </c>
      <c r="DP5" s="139">
        <f t="shared" ref="DP5" si="19">DO5+1</f>
        <v>46077</v>
      </c>
      <c r="DQ5" s="138">
        <f>DP5+1</f>
        <v>46078</v>
      </c>
      <c r="DR5" s="139">
        <f t="shared" ref="DR5" si="20">DQ5+1</f>
        <v>46079</v>
      </c>
      <c r="DS5" s="138">
        <f t="shared" ref="DS5" si="21">DR5+1</f>
        <v>46080</v>
      </c>
      <c r="DT5" s="139">
        <f t="shared" ref="DT5" si="22">DS5+1</f>
        <v>46081</v>
      </c>
      <c r="DU5" s="138">
        <f t="shared" ref="DU5" si="23">DT5+1</f>
        <v>46082</v>
      </c>
      <c r="DV5" s="139">
        <f t="shared" ref="DV5" si="24">DU5+1</f>
        <v>46083</v>
      </c>
      <c r="DW5" s="138">
        <f>DV5+1</f>
        <v>46084</v>
      </c>
      <c r="DX5" s="139">
        <f t="shared" ref="DX5" si="25">DW5+1</f>
        <v>46085</v>
      </c>
      <c r="DY5" s="138">
        <f t="shared" ref="DY5" si="26">DX5+1</f>
        <v>46086</v>
      </c>
      <c r="DZ5" s="139">
        <f t="shared" ref="DZ5" si="27">DY5+1</f>
        <v>46087</v>
      </c>
      <c r="EA5" s="138">
        <f t="shared" ref="EA5" si="28">DZ5+1</f>
        <v>46088</v>
      </c>
      <c r="EB5" s="139">
        <f t="shared" ref="EB5" si="29">EA5+1</f>
        <v>46089</v>
      </c>
      <c r="EC5" s="138">
        <f>EB5+1</f>
        <v>46090</v>
      </c>
      <c r="ED5" s="139">
        <f t="shared" ref="ED5" si="30">EC5+1</f>
        <v>46091</v>
      </c>
      <c r="EE5" s="138">
        <f t="shared" ref="EE5" si="31">ED5+1</f>
        <v>46092</v>
      </c>
      <c r="EF5" s="139">
        <f>EE5+1</f>
        <v>46093</v>
      </c>
      <c r="EG5" s="138">
        <f t="shared" ref="EG5" si="32">EF5+1</f>
        <v>46094</v>
      </c>
      <c r="EH5" s="139">
        <f t="shared" ref="EH5" si="33">EG5+1</f>
        <v>46095</v>
      </c>
      <c r="EI5" s="138">
        <f>EH5+1</f>
        <v>46096</v>
      </c>
      <c r="EJ5" s="139">
        <f t="shared" ref="EJ5" si="34">EI5+1</f>
        <v>46097</v>
      </c>
      <c r="EK5" s="138">
        <f t="shared" ref="EK5" si="35">EJ5+1</f>
        <v>46098</v>
      </c>
      <c r="EL5" s="139">
        <f t="shared" ref="EL5" si="36">EK5+1</f>
        <v>46099</v>
      </c>
      <c r="EM5" s="138">
        <f t="shared" ref="EM5" si="37">EL5+1</f>
        <v>46100</v>
      </c>
      <c r="EN5" s="139">
        <f>EM5+1</f>
        <v>46101</v>
      </c>
      <c r="EO5" s="138">
        <f t="shared" ref="EO5" si="38">EN5+1</f>
        <v>46102</v>
      </c>
      <c r="EP5" s="139">
        <f t="shared" ref="EP5" si="39">EO5+1</f>
        <v>46103</v>
      </c>
      <c r="EQ5" s="138">
        <f>EP5+1</f>
        <v>46104</v>
      </c>
      <c r="ER5" s="139">
        <f t="shared" ref="ER5" si="40">EQ5+1</f>
        <v>46105</v>
      </c>
      <c r="ES5" s="138">
        <f t="shared" ref="ES5" si="41">ER5+1</f>
        <v>46106</v>
      </c>
      <c r="ET5" s="139">
        <f t="shared" ref="ET5" si="42">ES5+1</f>
        <v>46107</v>
      </c>
    </row>
    <row r="6" spans="2:150" ht="24.6" hidden="1" customHeight="1">
      <c r="B6" s="140">
        <v>1</v>
      </c>
      <c r="C6" s="68" t="s">
        <v>45</v>
      </c>
      <c r="D6" s="141"/>
      <c r="E6" s="142"/>
      <c r="F6" s="140"/>
      <c r="G6" s="142">
        <v>2</v>
      </c>
      <c r="H6" s="140"/>
      <c r="I6" s="142">
        <v>2</v>
      </c>
      <c r="J6" s="140">
        <v>2</v>
      </c>
      <c r="K6" s="142"/>
      <c r="L6" s="140"/>
      <c r="M6" s="142">
        <v>6</v>
      </c>
      <c r="N6" s="140">
        <v>3</v>
      </c>
      <c r="O6" s="142">
        <v>3</v>
      </c>
      <c r="P6" s="140"/>
      <c r="Q6" s="142">
        <v>2</v>
      </c>
      <c r="R6" s="140">
        <v>2</v>
      </c>
      <c r="S6" s="142">
        <v>2</v>
      </c>
      <c r="T6" s="140"/>
      <c r="U6" s="142">
        <v>2</v>
      </c>
      <c r="V6" s="140">
        <v>2</v>
      </c>
      <c r="W6" s="142">
        <v>4</v>
      </c>
      <c r="X6" s="140"/>
      <c r="Y6" s="142">
        <v>4</v>
      </c>
      <c r="Z6" s="140">
        <v>2</v>
      </c>
      <c r="AA6" s="142"/>
      <c r="AB6" s="140"/>
      <c r="AC6" s="142">
        <v>2</v>
      </c>
      <c r="AD6" s="140"/>
      <c r="AE6" s="142">
        <v>2</v>
      </c>
      <c r="AF6" s="140">
        <v>2</v>
      </c>
      <c r="AG6" s="142">
        <v>2</v>
      </c>
      <c r="AH6" s="140"/>
      <c r="AI6" s="143">
        <v>2</v>
      </c>
      <c r="AJ6" s="140"/>
      <c r="AK6" s="143"/>
      <c r="AL6" s="140"/>
      <c r="AM6" s="143"/>
      <c r="AN6" s="140">
        <v>2</v>
      </c>
      <c r="AO6" s="143">
        <v>2</v>
      </c>
      <c r="AP6" s="140"/>
      <c r="AQ6" s="143">
        <v>2</v>
      </c>
      <c r="AR6" s="140"/>
      <c r="AS6" s="143">
        <v>2</v>
      </c>
      <c r="AT6" s="140">
        <v>2</v>
      </c>
      <c r="AU6" s="143">
        <v>4</v>
      </c>
      <c r="AV6" s="140"/>
      <c r="AW6" s="143">
        <v>2</v>
      </c>
      <c r="AX6" s="140">
        <v>2</v>
      </c>
      <c r="AY6" s="143">
        <v>4</v>
      </c>
      <c r="AZ6" s="140">
        <v>6</v>
      </c>
      <c r="BA6" s="143">
        <v>4</v>
      </c>
      <c r="BB6" s="140">
        <v>6</v>
      </c>
      <c r="BC6" s="143">
        <v>6</v>
      </c>
      <c r="BD6" s="140">
        <v>6</v>
      </c>
      <c r="BE6" s="143">
        <v>6</v>
      </c>
      <c r="BF6" s="140">
        <v>5</v>
      </c>
      <c r="BG6" s="143">
        <v>6</v>
      </c>
      <c r="BH6" s="140">
        <v>6</v>
      </c>
      <c r="BI6" s="143">
        <v>6</v>
      </c>
      <c r="BJ6" s="140">
        <v>6</v>
      </c>
      <c r="BK6" s="143">
        <v>5</v>
      </c>
      <c r="BL6" s="140">
        <v>5</v>
      </c>
      <c r="BM6" s="143">
        <v>6</v>
      </c>
      <c r="BN6" s="143"/>
      <c r="BO6" s="140">
        <v>6</v>
      </c>
      <c r="BP6" s="143">
        <v>6</v>
      </c>
      <c r="BQ6" s="140"/>
      <c r="BR6" s="143">
        <v>6</v>
      </c>
      <c r="BS6" s="140">
        <v>6</v>
      </c>
      <c r="BT6" s="143">
        <v>6</v>
      </c>
      <c r="BU6" s="140"/>
      <c r="BV6" s="143"/>
      <c r="BW6" s="140"/>
      <c r="BX6" s="143"/>
      <c r="BY6" s="140"/>
      <c r="BZ6" s="143"/>
      <c r="CA6" s="140"/>
      <c r="CB6" s="143"/>
      <c r="CC6" s="140"/>
      <c r="CD6" s="143"/>
      <c r="CE6" s="140"/>
      <c r="CF6" s="143"/>
      <c r="CG6" s="140"/>
      <c r="CH6" s="143"/>
      <c r="CI6" s="140"/>
      <c r="CJ6" s="143"/>
      <c r="CK6" s="140"/>
      <c r="CL6" s="143"/>
      <c r="CM6" s="140"/>
      <c r="CN6" s="143"/>
      <c r="CO6" s="140"/>
      <c r="CP6" s="143"/>
      <c r="CQ6" s="140"/>
      <c r="CR6" s="143"/>
      <c r="CS6" s="140"/>
      <c r="CT6" s="143"/>
      <c r="CU6" s="140"/>
      <c r="CV6" s="143"/>
      <c r="CW6" s="140"/>
      <c r="CX6" s="143"/>
      <c r="CY6" s="140"/>
      <c r="CZ6" s="143"/>
      <c r="DA6" s="140"/>
      <c r="DB6" s="143"/>
      <c r="DC6" s="140"/>
      <c r="DD6" s="143"/>
      <c r="DE6" s="140"/>
      <c r="DF6" s="143"/>
      <c r="DG6" s="140"/>
      <c r="DH6" s="143"/>
      <c r="DI6" s="140"/>
      <c r="DJ6" s="143"/>
      <c r="DK6" s="140"/>
      <c r="DL6" s="143"/>
      <c r="DM6" s="140"/>
      <c r="DN6" s="143"/>
      <c r="DO6" s="140"/>
      <c r="DP6" s="143"/>
      <c r="DQ6" s="140"/>
      <c r="DR6" s="143"/>
      <c r="DS6" s="140"/>
      <c r="DT6" s="143"/>
      <c r="DU6" s="140"/>
      <c r="DV6" s="143"/>
      <c r="DW6" s="140"/>
      <c r="DX6" s="143"/>
      <c r="DY6" s="140"/>
      <c r="DZ6" s="143"/>
      <c r="EA6" s="140"/>
      <c r="EB6" s="143"/>
      <c r="EC6" s="140"/>
      <c r="ED6" s="143"/>
      <c r="EE6" s="140"/>
      <c r="EF6" s="143"/>
      <c r="EG6" s="140"/>
      <c r="EH6" s="143"/>
      <c r="EI6" s="140"/>
      <c r="EJ6" s="143"/>
      <c r="EK6" s="140"/>
      <c r="EL6" s="143"/>
      <c r="EM6" s="140"/>
      <c r="EN6" s="143"/>
      <c r="EO6" s="140"/>
      <c r="EP6" s="143"/>
      <c r="EQ6" s="140"/>
      <c r="ER6" s="143"/>
      <c r="ES6" s="140"/>
      <c r="ET6" s="143"/>
    </row>
    <row r="7" spans="2:150" ht="24.6" customHeight="1">
      <c r="B7" s="140">
        <v>2</v>
      </c>
      <c r="C7" s="68" t="s">
        <v>46</v>
      </c>
      <c r="D7" s="141">
        <v>4</v>
      </c>
      <c r="E7" s="142"/>
      <c r="F7" s="140"/>
      <c r="G7" s="142"/>
      <c r="H7" s="140"/>
      <c r="I7" s="142"/>
      <c r="J7" s="140"/>
      <c r="K7" s="142"/>
      <c r="L7" s="140"/>
      <c r="M7" s="142"/>
      <c r="N7" s="140"/>
      <c r="O7" s="142"/>
      <c r="P7" s="140"/>
      <c r="Q7" s="142"/>
      <c r="R7" s="140"/>
      <c r="S7" s="142"/>
      <c r="T7" s="140"/>
      <c r="U7" s="142"/>
      <c r="V7" s="140"/>
      <c r="W7" s="142"/>
      <c r="X7" s="140"/>
      <c r="Y7" s="142"/>
      <c r="Z7" s="140"/>
      <c r="AA7" s="142"/>
      <c r="AB7" s="140"/>
      <c r="AC7" s="142"/>
      <c r="AD7" s="140"/>
      <c r="AE7" s="142"/>
      <c r="AF7" s="140"/>
      <c r="AG7" s="142"/>
      <c r="AH7" s="140"/>
      <c r="AI7" s="143"/>
      <c r="AJ7" s="140"/>
      <c r="AK7" s="143"/>
      <c r="AL7" s="140"/>
      <c r="AM7" s="143"/>
      <c r="AN7" s="140"/>
      <c r="AO7" s="143"/>
      <c r="AP7" s="140"/>
      <c r="AQ7" s="143"/>
      <c r="AR7" s="140"/>
      <c r="AS7" s="143"/>
      <c r="AT7" s="140"/>
      <c r="AU7" s="143"/>
      <c r="AV7" s="140"/>
      <c r="AW7" s="143"/>
      <c r="AX7" s="140"/>
      <c r="AY7" s="143"/>
      <c r="AZ7" s="140"/>
      <c r="BA7" s="143"/>
      <c r="BB7" s="140"/>
      <c r="BC7" s="143"/>
      <c r="BD7" s="140"/>
      <c r="BE7" s="143"/>
      <c r="BF7" s="140"/>
      <c r="BG7" s="143"/>
      <c r="BH7" s="140"/>
      <c r="BI7" s="143"/>
      <c r="BJ7" s="140"/>
      <c r="BK7" s="143"/>
      <c r="BL7" s="140"/>
      <c r="BM7" s="143"/>
      <c r="BN7" s="143"/>
      <c r="BO7" s="140"/>
      <c r="BP7" s="143"/>
      <c r="BQ7" s="140"/>
      <c r="BR7" s="143"/>
      <c r="BS7" s="140"/>
      <c r="BT7" s="143"/>
      <c r="BU7" s="140">
        <v>6</v>
      </c>
      <c r="BV7" s="143">
        <v>6</v>
      </c>
      <c r="BW7" s="140">
        <v>6</v>
      </c>
      <c r="BX7" s="143">
        <v>6</v>
      </c>
      <c r="BY7" s="140">
        <v>6</v>
      </c>
      <c r="BZ7" s="143">
        <v>6</v>
      </c>
      <c r="CA7" s="140">
        <v>6</v>
      </c>
      <c r="CB7" s="143"/>
      <c r="CC7" s="140">
        <v>6</v>
      </c>
      <c r="CD7" s="143">
        <v>6</v>
      </c>
      <c r="CE7" s="140">
        <v>6</v>
      </c>
      <c r="CF7" s="143">
        <v>6</v>
      </c>
      <c r="CG7" s="140">
        <v>6</v>
      </c>
      <c r="CH7" s="143">
        <v>6</v>
      </c>
      <c r="CI7" s="140">
        <v>6</v>
      </c>
      <c r="CJ7" s="143"/>
      <c r="CK7" s="140">
        <v>6</v>
      </c>
      <c r="CL7" s="143"/>
      <c r="CM7" s="140"/>
      <c r="CN7" s="143"/>
      <c r="CO7" s="140">
        <v>6</v>
      </c>
      <c r="CP7" s="143">
        <v>6</v>
      </c>
      <c r="CQ7" s="140">
        <v>6</v>
      </c>
      <c r="CR7" s="143">
        <v>4</v>
      </c>
      <c r="CS7" s="140">
        <v>4</v>
      </c>
      <c r="CT7" s="143">
        <v>4</v>
      </c>
      <c r="CU7" s="140">
        <v>4</v>
      </c>
      <c r="CV7" s="143">
        <v>4</v>
      </c>
      <c r="CW7" s="140">
        <v>4</v>
      </c>
      <c r="CX7" s="143">
        <v>4</v>
      </c>
      <c r="CY7" s="140">
        <v>4</v>
      </c>
      <c r="CZ7" s="143">
        <v>4</v>
      </c>
      <c r="DA7" s="140">
        <v>4</v>
      </c>
      <c r="DB7" s="143">
        <v>4</v>
      </c>
      <c r="DC7" s="140">
        <v>4</v>
      </c>
      <c r="DD7" s="143">
        <v>4</v>
      </c>
      <c r="DE7" s="140"/>
      <c r="DF7" s="143"/>
      <c r="DG7" s="140"/>
      <c r="DH7" s="143"/>
      <c r="DI7" s="140"/>
      <c r="DJ7" s="143"/>
      <c r="DK7" s="140"/>
      <c r="DL7" s="143"/>
      <c r="DM7" s="140"/>
      <c r="DN7" s="143"/>
      <c r="DO7" s="140">
        <v>2</v>
      </c>
      <c r="DP7" s="143"/>
      <c r="DQ7" s="140"/>
      <c r="DR7" s="143"/>
      <c r="DS7" s="140"/>
      <c r="DT7" s="143"/>
      <c r="DU7" s="140">
        <v>2</v>
      </c>
      <c r="DV7" s="143">
        <v>4</v>
      </c>
      <c r="DW7" s="140">
        <v>4</v>
      </c>
      <c r="DX7" s="143"/>
      <c r="DY7" s="140"/>
      <c r="DZ7" s="143">
        <v>4</v>
      </c>
      <c r="EA7" s="140">
        <v>2</v>
      </c>
      <c r="EB7" s="143">
        <v>1</v>
      </c>
      <c r="EC7" s="140">
        <v>3</v>
      </c>
      <c r="ED7" s="143"/>
      <c r="EE7" s="140">
        <v>2</v>
      </c>
      <c r="EF7" s="143">
        <v>2</v>
      </c>
      <c r="EG7" s="140">
        <v>2</v>
      </c>
      <c r="EH7" s="143"/>
      <c r="EI7" s="140"/>
      <c r="EJ7" s="143"/>
      <c r="EK7" s="140"/>
      <c r="EL7" s="143"/>
      <c r="EM7" s="140"/>
      <c r="EN7" s="143"/>
      <c r="EO7" s="235" t="s">
        <v>144</v>
      </c>
      <c r="EP7" s="143"/>
      <c r="EQ7" s="140"/>
      <c r="ER7" s="143"/>
      <c r="ES7" s="140"/>
      <c r="ET7" s="143"/>
    </row>
    <row r="8" spans="2:150" ht="24.6" customHeight="1">
      <c r="B8" s="140">
        <v>3</v>
      </c>
      <c r="C8" s="68" t="s">
        <v>47</v>
      </c>
      <c r="D8" s="141">
        <v>4</v>
      </c>
      <c r="E8" s="142">
        <v>2</v>
      </c>
      <c r="F8" s="140"/>
      <c r="G8" s="142">
        <v>4</v>
      </c>
      <c r="H8" s="140">
        <v>4</v>
      </c>
      <c r="I8" s="142">
        <v>4</v>
      </c>
      <c r="J8" s="140">
        <v>2</v>
      </c>
      <c r="K8" s="142">
        <v>2</v>
      </c>
      <c r="L8" s="140"/>
      <c r="M8" s="142">
        <v>2</v>
      </c>
      <c r="N8" s="140">
        <v>2</v>
      </c>
      <c r="O8" s="142">
        <v>2</v>
      </c>
      <c r="P8" s="140"/>
      <c r="Q8" s="142">
        <v>2</v>
      </c>
      <c r="R8" s="140">
        <v>1</v>
      </c>
      <c r="S8" s="142">
        <v>1</v>
      </c>
      <c r="T8" s="140">
        <v>2</v>
      </c>
      <c r="U8" s="142">
        <v>2</v>
      </c>
      <c r="V8" s="140">
        <v>2</v>
      </c>
      <c r="W8" s="142">
        <v>2</v>
      </c>
      <c r="X8" s="140"/>
      <c r="Y8" s="142">
        <v>2</v>
      </c>
      <c r="Z8" s="140">
        <v>2</v>
      </c>
      <c r="AA8" s="142">
        <v>2</v>
      </c>
      <c r="AB8" s="140"/>
      <c r="AC8" s="142">
        <v>1</v>
      </c>
      <c r="AD8" s="140">
        <v>2</v>
      </c>
      <c r="AE8" s="142">
        <v>2</v>
      </c>
      <c r="AF8" s="140">
        <v>1</v>
      </c>
      <c r="AG8" s="142">
        <v>1</v>
      </c>
      <c r="AH8" s="140"/>
      <c r="AI8" s="143">
        <v>3</v>
      </c>
      <c r="AJ8" s="140">
        <v>3</v>
      </c>
      <c r="AK8" s="143">
        <v>4</v>
      </c>
      <c r="AL8" s="140">
        <v>6</v>
      </c>
      <c r="AM8" s="143">
        <v>3</v>
      </c>
      <c r="AN8" s="140">
        <v>3</v>
      </c>
      <c r="AO8" s="143">
        <v>2</v>
      </c>
      <c r="AP8" s="140">
        <v>3</v>
      </c>
      <c r="AQ8" s="143">
        <v>3</v>
      </c>
      <c r="AR8" s="140">
        <v>3</v>
      </c>
      <c r="AS8" s="143">
        <v>2</v>
      </c>
      <c r="AT8" s="140">
        <v>2</v>
      </c>
      <c r="AU8" s="143">
        <v>4</v>
      </c>
      <c r="AV8" s="140"/>
      <c r="AW8" s="143">
        <v>2</v>
      </c>
      <c r="AX8" s="140">
        <v>2</v>
      </c>
      <c r="AY8" s="143">
        <v>3</v>
      </c>
      <c r="AZ8" s="140">
        <v>4</v>
      </c>
      <c r="BA8" s="143">
        <v>2</v>
      </c>
      <c r="BB8" s="140">
        <v>3</v>
      </c>
      <c r="BC8" s="143">
        <v>3</v>
      </c>
      <c r="BD8" s="140">
        <v>4</v>
      </c>
      <c r="BE8" s="143">
        <v>4</v>
      </c>
      <c r="BF8" s="140">
        <v>3</v>
      </c>
      <c r="BG8" s="143">
        <v>2</v>
      </c>
      <c r="BH8" s="140">
        <v>2</v>
      </c>
      <c r="BI8" s="143">
        <v>4</v>
      </c>
      <c r="BJ8" s="140">
        <v>5</v>
      </c>
      <c r="BK8" s="143">
        <v>4</v>
      </c>
      <c r="BL8" s="140">
        <v>4</v>
      </c>
      <c r="BM8" s="143">
        <v>4</v>
      </c>
      <c r="BN8" s="143"/>
      <c r="BO8" s="140">
        <v>4</v>
      </c>
      <c r="BP8" s="143">
        <v>4</v>
      </c>
      <c r="BQ8" s="140"/>
      <c r="BR8" s="143">
        <v>5</v>
      </c>
      <c r="BS8" s="140">
        <v>4</v>
      </c>
      <c r="BT8" s="143">
        <v>4</v>
      </c>
      <c r="BU8" s="140">
        <v>4</v>
      </c>
      <c r="BV8" s="143">
        <v>3</v>
      </c>
      <c r="BW8" s="140">
        <v>3</v>
      </c>
      <c r="BX8" s="143">
        <v>3</v>
      </c>
      <c r="BY8" s="140">
        <v>3</v>
      </c>
      <c r="BZ8" s="143">
        <v>3</v>
      </c>
      <c r="CA8" s="140">
        <v>3</v>
      </c>
      <c r="CB8" s="143">
        <v>3</v>
      </c>
      <c r="CC8" s="140"/>
      <c r="CD8" s="143">
        <v>3</v>
      </c>
      <c r="CE8" s="140">
        <v>3</v>
      </c>
      <c r="CF8" s="143">
        <v>4</v>
      </c>
      <c r="CG8" s="140">
        <v>4</v>
      </c>
      <c r="CH8" s="143">
        <v>4</v>
      </c>
      <c r="CI8" s="140">
        <v>4</v>
      </c>
      <c r="CJ8" s="143"/>
      <c r="CK8" s="140">
        <v>3</v>
      </c>
      <c r="CL8" s="143"/>
      <c r="CM8" s="140"/>
      <c r="CN8" s="143"/>
      <c r="CO8" s="140">
        <v>3</v>
      </c>
      <c r="CP8" s="143">
        <v>2</v>
      </c>
      <c r="CQ8" s="140">
        <v>3</v>
      </c>
      <c r="CR8" s="143">
        <v>4</v>
      </c>
      <c r="CS8" s="140">
        <v>3</v>
      </c>
      <c r="CT8" s="143">
        <v>2</v>
      </c>
      <c r="CU8" s="140">
        <v>2</v>
      </c>
      <c r="CV8" s="143"/>
      <c r="CW8" s="140">
        <v>3</v>
      </c>
      <c r="CX8" s="143">
        <v>3</v>
      </c>
      <c r="CY8" s="140">
        <v>3</v>
      </c>
      <c r="CZ8" s="143">
        <v>3</v>
      </c>
      <c r="DA8" s="140">
        <v>3</v>
      </c>
      <c r="DB8" s="143">
        <v>3</v>
      </c>
      <c r="DC8" s="140">
        <v>1</v>
      </c>
      <c r="DD8" s="143">
        <v>1</v>
      </c>
      <c r="DE8" s="140">
        <v>2</v>
      </c>
      <c r="DF8" s="143">
        <v>3</v>
      </c>
      <c r="DG8" s="140">
        <v>3</v>
      </c>
      <c r="DH8" s="143">
        <v>3</v>
      </c>
      <c r="DI8" s="140">
        <v>3</v>
      </c>
      <c r="DJ8" s="143">
        <v>3</v>
      </c>
      <c r="DK8" s="140">
        <v>3</v>
      </c>
      <c r="DL8" s="143">
        <v>3</v>
      </c>
      <c r="DM8" s="140">
        <v>4</v>
      </c>
      <c r="DN8" s="143">
        <v>4</v>
      </c>
      <c r="DO8" s="140"/>
      <c r="DP8" s="143">
        <v>4</v>
      </c>
      <c r="DQ8" s="140">
        <v>4</v>
      </c>
      <c r="DR8" s="143">
        <v>7</v>
      </c>
      <c r="DS8" s="140">
        <v>7</v>
      </c>
      <c r="DT8" s="143">
        <v>6</v>
      </c>
      <c r="DU8" s="140">
        <v>4</v>
      </c>
      <c r="DV8" s="143">
        <v>2</v>
      </c>
      <c r="DW8" s="140">
        <v>2</v>
      </c>
      <c r="DX8" s="143"/>
      <c r="DY8" s="140">
        <v>2</v>
      </c>
      <c r="DZ8" s="143">
        <v>2</v>
      </c>
      <c r="EA8" s="140">
        <v>5</v>
      </c>
      <c r="EB8" s="143">
        <v>6</v>
      </c>
      <c r="EC8" s="140">
        <v>3</v>
      </c>
      <c r="ED8" s="143">
        <v>4</v>
      </c>
      <c r="EE8" s="140">
        <v>5</v>
      </c>
      <c r="EF8" s="143">
        <v>4</v>
      </c>
      <c r="EG8" s="140">
        <v>2</v>
      </c>
      <c r="EH8" s="143">
        <v>2</v>
      </c>
      <c r="EI8" s="140">
        <v>2</v>
      </c>
      <c r="EJ8" s="143">
        <v>3</v>
      </c>
      <c r="EK8" s="140">
        <v>2</v>
      </c>
      <c r="EL8" s="143">
        <v>4</v>
      </c>
      <c r="EM8" s="140">
        <v>2</v>
      </c>
      <c r="EN8" s="143">
        <v>2</v>
      </c>
      <c r="EO8" s="236"/>
      <c r="EP8" s="143"/>
      <c r="EQ8" s="140">
        <v>5</v>
      </c>
      <c r="ER8" s="143">
        <v>3</v>
      </c>
      <c r="ES8" s="140">
        <v>3</v>
      </c>
      <c r="ET8" s="143"/>
    </row>
    <row r="9" spans="2:150" ht="24.6" customHeight="1">
      <c r="B9" s="140">
        <v>4</v>
      </c>
      <c r="C9" s="68" t="s">
        <v>48</v>
      </c>
      <c r="D9" s="141">
        <v>2</v>
      </c>
      <c r="E9" s="142"/>
      <c r="F9" s="140"/>
      <c r="G9" s="142"/>
      <c r="H9" s="140"/>
      <c r="I9" s="142"/>
      <c r="J9" s="140"/>
      <c r="K9" s="142"/>
      <c r="L9" s="140"/>
      <c r="M9" s="142"/>
      <c r="N9" s="140"/>
      <c r="O9" s="142"/>
      <c r="P9" s="140"/>
      <c r="Q9" s="142"/>
      <c r="R9" s="140"/>
      <c r="S9" s="142"/>
      <c r="T9" s="140"/>
      <c r="U9" s="142"/>
      <c r="V9" s="140"/>
      <c r="W9" s="142"/>
      <c r="X9" s="140"/>
      <c r="Y9" s="142"/>
      <c r="Z9" s="140"/>
      <c r="AA9" s="142"/>
      <c r="AB9" s="140"/>
      <c r="AC9" s="142"/>
      <c r="AD9" s="140"/>
      <c r="AE9" s="142"/>
      <c r="AF9" s="140">
        <v>2</v>
      </c>
      <c r="AG9" s="142">
        <v>2</v>
      </c>
      <c r="AH9" s="140"/>
      <c r="AI9" s="143"/>
      <c r="AJ9" s="140"/>
      <c r="AK9" s="143"/>
      <c r="AL9" s="140"/>
      <c r="AM9" s="143"/>
      <c r="AN9" s="140"/>
      <c r="AO9" s="143"/>
      <c r="AP9" s="140"/>
      <c r="AQ9" s="143"/>
      <c r="AR9" s="140"/>
      <c r="AS9" s="143">
        <v>2</v>
      </c>
      <c r="AT9" s="140">
        <v>2</v>
      </c>
      <c r="AU9" s="143"/>
      <c r="AV9" s="140"/>
      <c r="AW9" s="143">
        <v>2</v>
      </c>
      <c r="AX9" s="140">
        <v>2</v>
      </c>
      <c r="AY9" s="143">
        <v>2</v>
      </c>
      <c r="AZ9" s="140"/>
      <c r="BA9" s="143"/>
      <c r="BB9" s="140"/>
      <c r="BC9" s="143"/>
      <c r="BD9" s="140"/>
      <c r="BE9" s="143"/>
      <c r="BF9" s="140"/>
      <c r="BG9" s="143"/>
      <c r="BH9" s="140"/>
      <c r="BI9" s="143">
        <v>2</v>
      </c>
      <c r="BJ9" s="140"/>
      <c r="BK9" s="143"/>
      <c r="BL9" s="140"/>
      <c r="BM9" s="143"/>
      <c r="BN9" s="143"/>
      <c r="BO9" s="140"/>
      <c r="BP9" s="143"/>
      <c r="BQ9" s="140"/>
      <c r="BR9" s="143"/>
      <c r="BS9" s="140">
        <v>1</v>
      </c>
      <c r="BT9" s="143">
        <v>1</v>
      </c>
      <c r="BU9" s="140">
        <v>1</v>
      </c>
      <c r="BV9" s="143">
        <v>1</v>
      </c>
      <c r="BW9" s="140">
        <v>1</v>
      </c>
      <c r="BX9" s="143">
        <v>1</v>
      </c>
      <c r="BY9" s="140">
        <v>1</v>
      </c>
      <c r="BZ9" s="143">
        <v>1</v>
      </c>
      <c r="CA9" s="140">
        <v>1</v>
      </c>
      <c r="CB9" s="143">
        <v>1</v>
      </c>
      <c r="CC9" s="140"/>
      <c r="CD9" s="143">
        <v>1</v>
      </c>
      <c r="CE9" s="140">
        <v>1</v>
      </c>
      <c r="CF9" s="143"/>
      <c r="CG9" s="140"/>
      <c r="CH9" s="143"/>
      <c r="CI9" s="140"/>
      <c r="CJ9" s="143"/>
      <c r="CK9" s="140">
        <v>2</v>
      </c>
      <c r="CL9" s="143"/>
      <c r="CM9" s="140"/>
      <c r="CN9" s="143"/>
      <c r="CO9" s="140"/>
      <c r="CP9" s="143">
        <v>2</v>
      </c>
      <c r="CQ9" s="140"/>
      <c r="CR9" s="143"/>
      <c r="CS9" s="140"/>
      <c r="CT9" s="143">
        <v>1</v>
      </c>
      <c r="CU9" s="140">
        <v>1</v>
      </c>
      <c r="CV9" s="143"/>
      <c r="CW9" s="140">
        <v>1</v>
      </c>
      <c r="CX9" s="143">
        <v>1</v>
      </c>
      <c r="CY9" s="140">
        <v>1</v>
      </c>
      <c r="CZ9" s="143">
        <v>1</v>
      </c>
      <c r="DA9" s="140">
        <v>1</v>
      </c>
      <c r="DB9" s="143">
        <v>1</v>
      </c>
      <c r="DC9" s="140">
        <v>1</v>
      </c>
      <c r="DD9" s="143">
        <v>1</v>
      </c>
      <c r="DE9" s="140">
        <v>1</v>
      </c>
      <c r="DF9" s="143">
        <v>1</v>
      </c>
      <c r="DG9" s="140">
        <v>1</v>
      </c>
      <c r="DH9" s="143">
        <v>1</v>
      </c>
      <c r="DI9" s="140">
        <v>1</v>
      </c>
      <c r="DJ9" s="143">
        <v>1</v>
      </c>
      <c r="DK9" s="140">
        <v>1</v>
      </c>
      <c r="DL9" s="143">
        <v>1</v>
      </c>
      <c r="DM9" s="140"/>
      <c r="DN9" s="143"/>
      <c r="DO9" s="140"/>
      <c r="DP9" s="143"/>
      <c r="DQ9" s="140"/>
      <c r="DR9" s="143"/>
      <c r="DS9" s="140"/>
      <c r="DT9" s="143">
        <v>2</v>
      </c>
      <c r="DU9" s="140">
        <v>2</v>
      </c>
      <c r="DV9" s="143">
        <v>2</v>
      </c>
      <c r="DW9" s="140">
        <v>2</v>
      </c>
      <c r="DX9" s="143"/>
      <c r="DY9" s="140">
        <v>1</v>
      </c>
      <c r="DZ9" s="143">
        <v>1</v>
      </c>
      <c r="EA9" s="140"/>
      <c r="EB9" s="143"/>
      <c r="EC9" s="140"/>
      <c r="ED9" s="143">
        <v>2</v>
      </c>
      <c r="EE9" s="140"/>
      <c r="EF9" s="143"/>
      <c r="EG9" s="140"/>
      <c r="EH9" s="143"/>
      <c r="EI9" s="140">
        <v>1</v>
      </c>
      <c r="EJ9" s="143"/>
      <c r="EK9" s="140"/>
      <c r="EL9" s="143">
        <v>1</v>
      </c>
      <c r="EM9" s="140"/>
      <c r="EN9" s="143"/>
      <c r="EO9" s="236"/>
      <c r="EP9" s="143"/>
      <c r="EQ9" s="140"/>
      <c r="ER9" s="143"/>
      <c r="ES9" s="140"/>
      <c r="ET9" s="143"/>
    </row>
    <row r="10" spans="2:150" ht="24.6" customHeight="1">
      <c r="B10" s="140">
        <v>5</v>
      </c>
      <c r="C10" s="68" t="s">
        <v>49</v>
      </c>
      <c r="D10" s="141">
        <v>2</v>
      </c>
      <c r="E10" s="142"/>
      <c r="F10" s="140"/>
      <c r="G10" s="142">
        <v>4</v>
      </c>
      <c r="H10" s="140">
        <v>2</v>
      </c>
      <c r="I10" s="142">
        <v>2</v>
      </c>
      <c r="J10" s="140">
        <v>2</v>
      </c>
      <c r="K10" s="142"/>
      <c r="L10" s="140"/>
      <c r="M10" s="142"/>
      <c r="N10" s="140">
        <v>2</v>
      </c>
      <c r="O10" s="142">
        <v>2</v>
      </c>
      <c r="P10" s="140"/>
      <c r="Q10" s="142"/>
      <c r="R10" s="140">
        <v>2</v>
      </c>
      <c r="S10" s="142">
        <v>2</v>
      </c>
      <c r="T10" s="140"/>
      <c r="U10" s="142">
        <v>2</v>
      </c>
      <c r="V10" s="140">
        <v>2</v>
      </c>
      <c r="W10" s="142">
        <v>2</v>
      </c>
      <c r="X10" s="140"/>
      <c r="Y10" s="142"/>
      <c r="Z10" s="140"/>
      <c r="AA10" s="142"/>
      <c r="AB10" s="140"/>
      <c r="AC10" s="142">
        <v>2</v>
      </c>
      <c r="AD10" s="140"/>
      <c r="AE10" s="142"/>
      <c r="AF10" s="140">
        <v>2</v>
      </c>
      <c r="AG10" s="142"/>
      <c r="AH10" s="140"/>
      <c r="AI10" s="143"/>
      <c r="AJ10" s="140"/>
      <c r="AK10" s="143"/>
      <c r="AL10" s="140"/>
      <c r="AM10" s="143"/>
      <c r="AN10" s="140"/>
      <c r="AO10" s="143"/>
      <c r="AP10" s="140"/>
      <c r="AQ10" s="143"/>
      <c r="AR10" s="140"/>
      <c r="AS10" s="143"/>
      <c r="AT10" s="140"/>
      <c r="AU10" s="143"/>
      <c r="AV10" s="140"/>
      <c r="AW10" s="143"/>
      <c r="AX10" s="140"/>
      <c r="AY10" s="143"/>
      <c r="AZ10" s="140"/>
      <c r="BA10" s="143"/>
      <c r="BB10" s="140"/>
      <c r="BC10" s="143"/>
      <c r="BD10" s="140"/>
      <c r="BE10" s="143"/>
      <c r="BF10" s="140"/>
      <c r="BG10" s="143">
        <v>4</v>
      </c>
      <c r="BH10" s="140"/>
      <c r="BI10" s="143"/>
      <c r="BJ10" s="140"/>
      <c r="BK10" s="143">
        <v>2</v>
      </c>
      <c r="BL10" s="140">
        <v>2</v>
      </c>
      <c r="BM10" s="143">
        <v>2</v>
      </c>
      <c r="BN10" s="143"/>
      <c r="BO10" s="140"/>
      <c r="BP10" s="143">
        <v>2</v>
      </c>
      <c r="BQ10" s="140"/>
      <c r="BR10" s="143"/>
      <c r="BS10" s="140"/>
      <c r="BT10" s="143"/>
      <c r="BU10" s="140"/>
      <c r="BV10" s="143"/>
      <c r="BW10" s="140"/>
      <c r="BX10" s="143"/>
      <c r="BY10" s="140"/>
      <c r="BZ10" s="143"/>
      <c r="CA10" s="140"/>
      <c r="CB10" s="143"/>
      <c r="CC10" s="140"/>
      <c r="CD10" s="143"/>
      <c r="CE10" s="140"/>
      <c r="CF10" s="143">
        <v>2</v>
      </c>
      <c r="CG10" s="140"/>
      <c r="CH10" s="143"/>
      <c r="CI10" s="140"/>
      <c r="CJ10" s="143"/>
      <c r="CK10" s="140"/>
      <c r="CL10" s="143"/>
      <c r="CM10" s="140"/>
      <c r="CN10" s="143"/>
      <c r="CO10" s="140"/>
      <c r="CP10" s="143"/>
      <c r="CQ10" s="140"/>
      <c r="CR10" s="143"/>
      <c r="CS10" s="140"/>
      <c r="CT10" s="143"/>
      <c r="CU10" s="140"/>
      <c r="CV10" s="143"/>
      <c r="CW10" s="140"/>
      <c r="CX10" s="143"/>
      <c r="CY10" s="140"/>
      <c r="CZ10" s="143"/>
      <c r="DA10" s="140"/>
      <c r="DB10" s="143"/>
      <c r="DC10" s="140"/>
      <c r="DD10" s="143"/>
      <c r="DE10" s="140"/>
      <c r="DF10" s="143"/>
      <c r="DG10" s="140"/>
      <c r="DH10" s="143"/>
      <c r="DI10" s="140"/>
      <c r="DJ10" s="143"/>
      <c r="DK10" s="140"/>
      <c r="DL10" s="143"/>
      <c r="DM10" s="140"/>
      <c r="DN10" s="143"/>
      <c r="DO10" s="140"/>
      <c r="DP10" s="143"/>
      <c r="DQ10" s="140"/>
      <c r="DR10" s="143"/>
      <c r="DS10" s="140"/>
      <c r="DT10" s="143"/>
      <c r="DU10" s="140"/>
      <c r="DV10" s="143"/>
      <c r="DW10" s="140"/>
      <c r="DX10" s="143"/>
      <c r="DY10" s="140"/>
      <c r="DZ10" s="143"/>
      <c r="EA10" s="140"/>
      <c r="EB10" s="143"/>
      <c r="EC10" s="140"/>
      <c r="ED10" s="143"/>
      <c r="EE10" s="140"/>
      <c r="EF10" s="143"/>
      <c r="EG10" s="140"/>
      <c r="EH10" s="143"/>
      <c r="EI10" s="140"/>
      <c r="EJ10" s="143"/>
      <c r="EK10" s="140"/>
      <c r="EL10" s="143"/>
      <c r="EM10" s="140"/>
      <c r="EN10" s="143"/>
      <c r="EO10" s="236"/>
      <c r="EP10" s="143"/>
      <c r="EQ10" s="140"/>
      <c r="ER10" s="143"/>
      <c r="ES10" s="140"/>
      <c r="ET10" s="143"/>
    </row>
    <row r="11" spans="2:150" ht="24.6" customHeight="1">
      <c r="B11" s="140">
        <v>6</v>
      </c>
      <c r="C11" s="68" t="s">
        <v>27</v>
      </c>
      <c r="D11" s="141">
        <v>2</v>
      </c>
      <c r="E11" s="142"/>
      <c r="F11" s="140"/>
      <c r="G11" s="142"/>
      <c r="H11" s="140"/>
      <c r="I11" s="142"/>
      <c r="J11" s="140"/>
      <c r="K11" s="142"/>
      <c r="L11" s="140"/>
      <c r="M11" s="142"/>
      <c r="N11" s="140"/>
      <c r="O11" s="142"/>
      <c r="P11" s="140"/>
      <c r="Q11" s="142"/>
      <c r="R11" s="140"/>
      <c r="S11" s="142"/>
      <c r="T11" s="140"/>
      <c r="U11" s="142"/>
      <c r="V11" s="140"/>
      <c r="W11" s="142"/>
      <c r="X11" s="140"/>
      <c r="Y11" s="142"/>
      <c r="Z11" s="140"/>
      <c r="AA11" s="142"/>
      <c r="AB11" s="140"/>
      <c r="AC11" s="142"/>
      <c r="AD11" s="140"/>
      <c r="AE11" s="142"/>
      <c r="AF11" s="140"/>
      <c r="AG11" s="142"/>
      <c r="AH11" s="140"/>
      <c r="AI11" s="143"/>
      <c r="AJ11" s="140"/>
      <c r="AK11" s="143"/>
      <c r="AL11" s="140"/>
      <c r="AM11" s="143"/>
      <c r="AN11" s="140"/>
      <c r="AO11" s="143"/>
      <c r="AP11" s="140"/>
      <c r="AQ11" s="143"/>
      <c r="AR11" s="140"/>
      <c r="AS11" s="143"/>
      <c r="AT11" s="140"/>
      <c r="AU11" s="143"/>
      <c r="AV11" s="140"/>
      <c r="AW11" s="143"/>
      <c r="AX11" s="140"/>
      <c r="AY11" s="143"/>
      <c r="AZ11" s="140"/>
      <c r="BA11" s="143"/>
      <c r="BB11" s="140"/>
      <c r="BC11" s="143"/>
      <c r="BD11" s="140"/>
      <c r="BE11" s="143"/>
      <c r="BF11" s="140"/>
      <c r="BG11" s="143"/>
      <c r="BH11" s="140"/>
      <c r="BI11" s="143"/>
      <c r="BJ11" s="140"/>
      <c r="BK11" s="143"/>
      <c r="BL11" s="140"/>
      <c r="BM11" s="143"/>
      <c r="BN11" s="143"/>
      <c r="BO11" s="140"/>
      <c r="BP11" s="143"/>
      <c r="BQ11" s="140"/>
      <c r="BR11" s="143"/>
      <c r="BS11" s="140"/>
      <c r="BT11" s="143"/>
      <c r="BU11" s="140"/>
      <c r="BV11" s="143"/>
      <c r="BW11" s="140"/>
      <c r="BX11" s="143">
        <v>2</v>
      </c>
      <c r="BY11" s="140">
        <v>2</v>
      </c>
      <c r="BZ11" s="143"/>
      <c r="CA11" s="140"/>
      <c r="CB11" s="143"/>
      <c r="CC11" s="140"/>
      <c r="CD11" s="143"/>
      <c r="CE11" s="140"/>
      <c r="CF11" s="143"/>
      <c r="CG11" s="140"/>
      <c r="CH11" s="143"/>
      <c r="CI11" s="140"/>
      <c r="CJ11" s="143"/>
      <c r="CK11" s="140">
        <v>2</v>
      </c>
      <c r="CL11" s="143"/>
      <c r="CM11" s="140"/>
      <c r="CN11" s="143"/>
      <c r="CO11" s="140">
        <v>2</v>
      </c>
      <c r="CP11" s="143"/>
      <c r="CQ11" s="140"/>
      <c r="CR11" s="143"/>
      <c r="CS11" s="140"/>
      <c r="CT11" s="143"/>
      <c r="CU11" s="140"/>
      <c r="CV11" s="143"/>
      <c r="CW11" s="140"/>
      <c r="CX11" s="143"/>
      <c r="CY11" s="140"/>
      <c r="CZ11" s="143"/>
      <c r="DA11" s="140"/>
      <c r="DB11" s="143"/>
      <c r="DC11" s="140"/>
      <c r="DD11" s="143">
        <v>2</v>
      </c>
      <c r="DE11" s="140">
        <v>2</v>
      </c>
      <c r="DF11" s="143"/>
      <c r="DG11" s="140"/>
      <c r="DH11" s="143"/>
      <c r="DI11" s="140"/>
      <c r="DJ11" s="143"/>
      <c r="DK11" s="140"/>
      <c r="DL11" s="143"/>
      <c r="DM11" s="140"/>
      <c r="DN11" s="143"/>
      <c r="DO11" s="140"/>
      <c r="DP11" s="143"/>
      <c r="DQ11" s="140"/>
      <c r="DR11" s="143"/>
      <c r="DS11" s="140"/>
      <c r="DT11" s="143"/>
      <c r="DU11" s="140"/>
      <c r="DV11" s="143"/>
      <c r="DW11" s="140"/>
      <c r="DX11" s="143"/>
      <c r="DY11" s="140"/>
      <c r="DZ11" s="143"/>
      <c r="EA11" s="140"/>
      <c r="EB11" s="143"/>
      <c r="EC11" s="140"/>
      <c r="ED11" s="143"/>
      <c r="EE11" s="140"/>
      <c r="EF11" s="143"/>
      <c r="EG11" s="140"/>
      <c r="EH11" s="143"/>
      <c r="EI11" s="140"/>
      <c r="EJ11" s="143"/>
      <c r="EK11" s="140"/>
      <c r="EL11" s="143"/>
      <c r="EM11" s="140"/>
      <c r="EN11" s="143"/>
      <c r="EO11" s="236"/>
      <c r="EP11" s="143"/>
      <c r="EQ11" s="140"/>
      <c r="ER11" s="143"/>
      <c r="ES11" s="140"/>
      <c r="ET11" s="143"/>
    </row>
    <row r="12" spans="2:150" ht="24.6" hidden="1" customHeight="1">
      <c r="B12" s="140">
        <v>7</v>
      </c>
      <c r="C12" s="68" t="s">
        <v>50</v>
      </c>
      <c r="D12" s="141"/>
      <c r="E12" s="142"/>
      <c r="F12" s="140"/>
      <c r="G12" s="142"/>
      <c r="H12" s="140"/>
      <c r="I12" s="142"/>
      <c r="J12" s="140"/>
      <c r="K12" s="142"/>
      <c r="L12" s="140"/>
      <c r="M12" s="142"/>
      <c r="N12" s="140"/>
      <c r="O12" s="142"/>
      <c r="P12" s="140"/>
      <c r="Q12" s="142"/>
      <c r="R12" s="140"/>
      <c r="S12" s="142"/>
      <c r="T12" s="140"/>
      <c r="U12" s="142"/>
      <c r="V12" s="140">
        <v>2</v>
      </c>
      <c r="W12" s="142">
        <v>2</v>
      </c>
      <c r="X12" s="140"/>
      <c r="Y12" s="142">
        <v>2</v>
      </c>
      <c r="Z12" s="140">
        <v>2</v>
      </c>
      <c r="AA12" s="142"/>
      <c r="AB12" s="140"/>
      <c r="AC12" s="142">
        <v>2</v>
      </c>
      <c r="AD12" s="140">
        <v>2</v>
      </c>
      <c r="AE12" s="142">
        <v>2</v>
      </c>
      <c r="AF12" s="140">
        <v>2</v>
      </c>
      <c r="AG12" s="142"/>
      <c r="AH12" s="140"/>
      <c r="AI12" s="143">
        <v>2</v>
      </c>
      <c r="AJ12" s="140">
        <v>2</v>
      </c>
      <c r="AK12" s="143">
        <v>2</v>
      </c>
      <c r="AL12" s="140"/>
      <c r="AM12" s="143"/>
      <c r="AN12" s="140"/>
      <c r="AO12" s="143"/>
      <c r="AP12" s="140"/>
      <c r="AQ12" s="143"/>
      <c r="AR12" s="140"/>
      <c r="AS12" s="143"/>
      <c r="AT12" s="140"/>
      <c r="AU12" s="143"/>
      <c r="AV12" s="140"/>
      <c r="AW12" s="143">
        <v>2</v>
      </c>
      <c r="AX12" s="140">
        <v>2</v>
      </c>
      <c r="AY12" s="143"/>
      <c r="AZ12" s="140"/>
      <c r="BA12" s="143"/>
      <c r="BB12" s="140"/>
      <c r="BC12" s="143"/>
      <c r="BD12" s="140"/>
      <c r="BE12" s="143"/>
      <c r="BF12" s="140"/>
      <c r="BG12" s="143"/>
      <c r="BH12" s="140"/>
      <c r="BI12" s="143"/>
      <c r="BJ12" s="140"/>
      <c r="BK12" s="143"/>
      <c r="BL12" s="140"/>
      <c r="BM12" s="143"/>
      <c r="BN12" s="143"/>
      <c r="BO12" s="140"/>
      <c r="BP12" s="143"/>
      <c r="BQ12" s="140"/>
      <c r="BR12" s="143"/>
      <c r="BS12" s="140"/>
      <c r="BT12" s="143"/>
      <c r="BU12" s="140"/>
      <c r="BV12" s="143"/>
      <c r="BW12" s="140"/>
      <c r="BX12" s="143"/>
      <c r="BY12" s="140"/>
      <c r="BZ12" s="143"/>
      <c r="CA12" s="140"/>
      <c r="CB12" s="143"/>
      <c r="CC12" s="140"/>
      <c r="CD12" s="143"/>
      <c r="CE12" s="140"/>
      <c r="CF12" s="143"/>
      <c r="CG12" s="140"/>
      <c r="CH12" s="143"/>
      <c r="CI12" s="140"/>
      <c r="CJ12" s="143"/>
      <c r="CK12" s="140"/>
      <c r="CL12" s="143"/>
      <c r="CM12" s="140"/>
      <c r="CN12" s="143"/>
      <c r="CO12" s="140"/>
      <c r="CP12" s="143"/>
      <c r="CQ12" s="140"/>
      <c r="CR12" s="143"/>
      <c r="CS12" s="140"/>
      <c r="CT12" s="143"/>
      <c r="CU12" s="140"/>
      <c r="CV12" s="143"/>
      <c r="CW12" s="140"/>
      <c r="CX12" s="143"/>
      <c r="CY12" s="140"/>
      <c r="CZ12" s="143"/>
      <c r="DA12" s="140"/>
      <c r="DB12" s="143"/>
      <c r="DC12" s="140"/>
      <c r="DD12" s="143"/>
      <c r="DE12" s="140"/>
      <c r="DF12" s="143"/>
      <c r="DG12" s="140"/>
      <c r="DH12" s="143"/>
      <c r="DI12" s="140"/>
      <c r="DJ12" s="143"/>
      <c r="DK12" s="140"/>
      <c r="DL12" s="143"/>
      <c r="DM12" s="140"/>
      <c r="DN12" s="143"/>
      <c r="DO12" s="140"/>
      <c r="DP12" s="143"/>
      <c r="DQ12" s="140"/>
      <c r="DR12" s="143"/>
      <c r="DS12" s="140"/>
      <c r="DT12" s="143"/>
      <c r="DU12" s="140"/>
      <c r="DV12" s="143"/>
      <c r="DW12" s="140"/>
      <c r="DX12" s="143"/>
      <c r="DY12" s="140"/>
      <c r="DZ12" s="143"/>
      <c r="EA12" s="140"/>
      <c r="EB12" s="143"/>
      <c r="EC12" s="140"/>
      <c r="ED12" s="143"/>
      <c r="EE12" s="140"/>
      <c r="EF12" s="143"/>
      <c r="EG12" s="140"/>
      <c r="EH12" s="143"/>
      <c r="EI12" s="140"/>
      <c r="EJ12" s="143"/>
      <c r="EK12" s="140"/>
      <c r="EL12" s="143"/>
      <c r="EM12" s="140"/>
      <c r="EN12" s="143"/>
      <c r="EO12" s="236"/>
      <c r="EP12" s="143"/>
      <c r="EQ12" s="140"/>
      <c r="ER12" s="143"/>
      <c r="ES12" s="140"/>
      <c r="ET12" s="143"/>
    </row>
    <row r="13" spans="2:150" ht="24.6" customHeight="1">
      <c r="B13" s="140">
        <v>8</v>
      </c>
      <c r="C13" s="69" t="s">
        <v>136</v>
      </c>
      <c r="D13" s="144">
        <v>1</v>
      </c>
      <c r="E13" s="142"/>
      <c r="F13" s="140"/>
      <c r="G13" s="142"/>
      <c r="H13" s="140"/>
      <c r="I13" s="142"/>
      <c r="J13" s="140"/>
      <c r="K13" s="142"/>
      <c r="L13" s="140"/>
      <c r="M13" s="142"/>
      <c r="N13" s="140"/>
      <c r="O13" s="142"/>
      <c r="P13" s="140"/>
      <c r="Q13" s="142"/>
      <c r="R13" s="140"/>
      <c r="S13" s="142"/>
      <c r="T13" s="140"/>
      <c r="U13" s="142"/>
      <c r="V13" s="140"/>
      <c r="W13" s="142"/>
      <c r="X13" s="140"/>
      <c r="Y13" s="142"/>
      <c r="Z13" s="140"/>
      <c r="AA13" s="142"/>
      <c r="AB13" s="140"/>
      <c r="AC13" s="142"/>
      <c r="AD13" s="140"/>
      <c r="AE13" s="142"/>
      <c r="AF13" s="140"/>
      <c r="AG13" s="142"/>
      <c r="AH13" s="140"/>
      <c r="AI13" s="143"/>
      <c r="AJ13" s="140"/>
      <c r="AK13" s="143"/>
      <c r="AL13" s="140"/>
      <c r="AM13" s="143"/>
      <c r="AN13" s="140"/>
      <c r="AO13" s="143"/>
      <c r="AP13" s="140"/>
      <c r="AQ13" s="143"/>
      <c r="AR13" s="140"/>
      <c r="AS13" s="143"/>
      <c r="AT13" s="140"/>
      <c r="AU13" s="143"/>
      <c r="AV13" s="140"/>
      <c r="AW13" s="143"/>
      <c r="AX13" s="140"/>
      <c r="AY13" s="143"/>
      <c r="AZ13" s="140"/>
      <c r="BA13" s="143"/>
      <c r="BB13" s="140"/>
      <c r="BC13" s="143"/>
      <c r="BD13" s="140"/>
      <c r="BE13" s="143"/>
      <c r="BF13" s="140"/>
      <c r="BG13" s="143"/>
      <c r="BH13" s="140"/>
      <c r="BI13" s="143"/>
      <c r="BJ13" s="140"/>
      <c r="BK13" s="143"/>
      <c r="BL13" s="140"/>
      <c r="BM13" s="143"/>
      <c r="BN13" s="143"/>
      <c r="BO13" s="140"/>
      <c r="BP13" s="143"/>
      <c r="BQ13" s="140"/>
      <c r="BR13" s="143"/>
      <c r="BS13" s="140"/>
      <c r="BT13" s="143"/>
      <c r="BU13" s="140"/>
      <c r="BV13" s="143"/>
      <c r="BW13" s="140"/>
      <c r="BX13" s="143"/>
      <c r="BY13" s="140"/>
      <c r="BZ13" s="143"/>
      <c r="CA13" s="140"/>
      <c r="CB13" s="143"/>
      <c r="CC13" s="140"/>
      <c r="CD13" s="143"/>
      <c r="CE13" s="140"/>
      <c r="CF13" s="143"/>
      <c r="CG13" s="140">
        <v>2</v>
      </c>
      <c r="CH13" s="143">
        <v>2</v>
      </c>
      <c r="CI13" s="140"/>
      <c r="CJ13" s="143"/>
      <c r="CK13" s="140"/>
      <c r="CL13" s="143"/>
      <c r="CM13" s="140"/>
      <c r="CN13" s="143"/>
      <c r="CO13" s="140"/>
      <c r="CP13" s="143"/>
      <c r="CQ13" s="140"/>
      <c r="CR13" s="143"/>
      <c r="CS13" s="140"/>
      <c r="CT13" s="143"/>
      <c r="CU13" s="140"/>
      <c r="CV13" s="143"/>
      <c r="CW13" s="140"/>
      <c r="CX13" s="143"/>
      <c r="CY13" s="140"/>
      <c r="CZ13" s="143"/>
      <c r="DA13" s="140"/>
      <c r="DB13" s="143"/>
      <c r="DC13" s="140"/>
      <c r="DD13" s="143"/>
      <c r="DE13" s="140"/>
      <c r="DF13" s="143"/>
      <c r="DG13" s="140"/>
      <c r="DH13" s="143"/>
      <c r="DI13" s="140"/>
      <c r="DJ13" s="143"/>
      <c r="DK13" s="140"/>
      <c r="DL13" s="143"/>
      <c r="DM13" s="140"/>
      <c r="DN13" s="143"/>
      <c r="DO13" s="140"/>
      <c r="DP13" s="143"/>
      <c r="DQ13" s="140"/>
      <c r="DR13" s="143"/>
      <c r="DS13" s="140"/>
      <c r="DT13" s="143">
        <v>2</v>
      </c>
      <c r="DU13" s="140"/>
      <c r="DV13" s="143"/>
      <c r="DW13" s="140"/>
      <c r="DX13" s="143"/>
      <c r="DY13" s="140"/>
      <c r="DZ13" s="143"/>
      <c r="EA13" s="140"/>
      <c r="EB13" s="143"/>
      <c r="EC13" s="140"/>
      <c r="ED13" s="143"/>
      <c r="EE13" s="140"/>
      <c r="EF13" s="143"/>
      <c r="EG13" s="140"/>
      <c r="EH13" s="143">
        <v>1</v>
      </c>
      <c r="EI13" s="140">
        <v>2</v>
      </c>
      <c r="EJ13" s="143">
        <v>2</v>
      </c>
      <c r="EK13" s="140">
        <v>2</v>
      </c>
      <c r="EL13" s="143"/>
      <c r="EM13" s="140"/>
      <c r="EN13" s="143"/>
      <c r="EO13" s="236"/>
      <c r="EP13" s="143"/>
      <c r="EQ13" s="140"/>
      <c r="ER13" s="143"/>
      <c r="ES13" s="140">
        <v>1</v>
      </c>
      <c r="ET13" s="143"/>
    </row>
    <row r="14" spans="2:150" ht="24.6" customHeight="1">
      <c r="B14" s="140">
        <v>9</v>
      </c>
      <c r="C14" s="69" t="s">
        <v>51</v>
      </c>
      <c r="D14" s="144">
        <v>1</v>
      </c>
      <c r="E14" s="142"/>
      <c r="F14" s="140"/>
      <c r="G14" s="142"/>
      <c r="H14" s="140"/>
      <c r="I14" s="142"/>
      <c r="J14" s="140"/>
      <c r="K14" s="142"/>
      <c r="L14" s="140"/>
      <c r="M14" s="142"/>
      <c r="N14" s="140"/>
      <c r="O14" s="142"/>
      <c r="P14" s="140"/>
      <c r="Q14" s="142"/>
      <c r="R14" s="140"/>
      <c r="S14" s="142"/>
      <c r="T14" s="140"/>
      <c r="U14" s="142"/>
      <c r="V14" s="140"/>
      <c r="W14" s="142"/>
      <c r="X14" s="140"/>
      <c r="Y14" s="142"/>
      <c r="Z14" s="140"/>
      <c r="AA14" s="142">
        <v>1</v>
      </c>
      <c r="AB14" s="140"/>
      <c r="AC14" s="142"/>
      <c r="AD14" s="140"/>
      <c r="AE14" s="142"/>
      <c r="AF14" s="140"/>
      <c r="AG14" s="142"/>
      <c r="AH14" s="140"/>
      <c r="AI14" s="143"/>
      <c r="AJ14" s="140"/>
      <c r="AK14" s="143"/>
      <c r="AL14" s="140"/>
      <c r="AM14" s="143"/>
      <c r="AN14" s="140">
        <v>1</v>
      </c>
      <c r="AO14" s="143"/>
      <c r="AP14" s="140">
        <v>2</v>
      </c>
      <c r="AQ14" s="143">
        <v>2</v>
      </c>
      <c r="AR14" s="140">
        <v>1</v>
      </c>
      <c r="AS14" s="143"/>
      <c r="AT14" s="140"/>
      <c r="AU14" s="143"/>
      <c r="AV14" s="140"/>
      <c r="AW14" s="143"/>
      <c r="AX14" s="140"/>
      <c r="AY14" s="143"/>
      <c r="AZ14" s="140"/>
      <c r="BA14" s="143"/>
      <c r="BB14" s="140"/>
      <c r="BC14" s="143"/>
      <c r="BD14" s="140"/>
      <c r="BE14" s="143"/>
      <c r="BF14" s="140"/>
      <c r="BG14" s="143"/>
      <c r="BH14" s="140"/>
      <c r="BI14" s="143"/>
      <c r="BJ14" s="140">
        <v>2</v>
      </c>
      <c r="BK14" s="143">
        <v>2</v>
      </c>
      <c r="BL14" s="140">
        <v>2</v>
      </c>
      <c r="BM14" s="143"/>
      <c r="BN14" s="143"/>
      <c r="BO14" s="140"/>
      <c r="BP14" s="143">
        <v>1</v>
      </c>
      <c r="BQ14" s="140"/>
      <c r="BR14" s="143"/>
      <c r="BS14" s="140"/>
      <c r="BT14" s="143"/>
      <c r="BU14" s="140"/>
      <c r="BV14" s="143"/>
      <c r="BW14" s="140">
        <v>2</v>
      </c>
      <c r="BX14" s="143">
        <v>2</v>
      </c>
      <c r="BY14" s="140">
        <v>2</v>
      </c>
      <c r="BZ14" s="143"/>
      <c r="CA14" s="140"/>
      <c r="CB14" s="143"/>
      <c r="CC14" s="140"/>
      <c r="CD14" s="143"/>
      <c r="CE14" s="140"/>
      <c r="CF14" s="143"/>
      <c r="CG14" s="140">
        <v>2</v>
      </c>
      <c r="CH14" s="143">
        <v>2</v>
      </c>
      <c r="CI14" s="140"/>
      <c r="CJ14" s="143"/>
      <c r="CK14" s="140">
        <v>2</v>
      </c>
      <c r="CL14" s="143"/>
      <c r="CM14" s="140"/>
      <c r="CN14" s="143"/>
      <c r="CO14" s="140">
        <v>2</v>
      </c>
      <c r="CP14" s="143"/>
      <c r="CQ14" s="140"/>
      <c r="CR14" s="143"/>
      <c r="CS14" s="140"/>
      <c r="CT14" s="143"/>
      <c r="CU14" s="140"/>
      <c r="CV14" s="143"/>
      <c r="CW14" s="140"/>
      <c r="CX14" s="143"/>
      <c r="CY14" s="140"/>
      <c r="CZ14" s="143"/>
      <c r="DA14" s="140"/>
      <c r="DB14" s="143"/>
      <c r="DC14" s="140"/>
      <c r="DD14" s="143"/>
      <c r="DE14" s="140"/>
      <c r="DF14" s="143"/>
      <c r="DG14" s="140"/>
      <c r="DH14" s="143"/>
      <c r="DI14" s="140"/>
      <c r="DJ14" s="143"/>
      <c r="DK14" s="140"/>
      <c r="DL14" s="143"/>
      <c r="DM14" s="140"/>
      <c r="DN14" s="143"/>
      <c r="DO14" s="140"/>
      <c r="DP14" s="143"/>
      <c r="DQ14" s="140"/>
      <c r="DR14" s="143"/>
      <c r="DS14" s="140"/>
      <c r="DT14" s="143"/>
      <c r="DU14" s="140"/>
      <c r="DV14" s="143"/>
      <c r="DW14" s="140"/>
      <c r="DX14" s="143"/>
      <c r="DY14" s="140"/>
      <c r="DZ14" s="143"/>
      <c r="EA14" s="140"/>
      <c r="EB14" s="143"/>
      <c r="EC14" s="140"/>
      <c r="ED14" s="143"/>
      <c r="EE14" s="140"/>
      <c r="EF14" s="143"/>
      <c r="EG14" s="140"/>
      <c r="EH14" s="143"/>
      <c r="EI14" s="140"/>
      <c r="EJ14" s="143"/>
      <c r="EK14" s="140"/>
      <c r="EL14" s="143"/>
      <c r="EM14" s="140"/>
      <c r="EN14" s="143"/>
      <c r="EO14" s="236"/>
      <c r="EP14" s="143"/>
      <c r="EQ14" s="140"/>
      <c r="ER14" s="143"/>
      <c r="ES14" s="140"/>
      <c r="ET14" s="143"/>
    </row>
    <row r="15" spans="2:150" ht="24.6" customHeight="1">
      <c r="B15" s="140">
        <v>10</v>
      </c>
      <c r="C15" s="68" t="s">
        <v>52</v>
      </c>
      <c r="D15" s="141">
        <v>2</v>
      </c>
      <c r="E15" s="142"/>
      <c r="F15" s="140"/>
      <c r="G15" s="142"/>
      <c r="H15" s="140"/>
      <c r="I15" s="142"/>
      <c r="J15" s="140"/>
      <c r="K15" s="142"/>
      <c r="L15" s="140"/>
      <c r="M15" s="142"/>
      <c r="N15" s="140"/>
      <c r="O15" s="142"/>
      <c r="P15" s="140"/>
      <c r="Q15" s="142"/>
      <c r="R15" s="140"/>
      <c r="S15" s="142"/>
      <c r="T15" s="140"/>
      <c r="U15" s="142"/>
      <c r="V15" s="140"/>
      <c r="W15" s="142"/>
      <c r="X15" s="140"/>
      <c r="Y15" s="142"/>
      <c r="Z15" s="140"/>
      <c r="AA15" s="142"/>
      <c r="AB15" s="140"/>
      <c r="AC15" s="142"/>
      <c r="AD15" s="140"/>
      <c r="AE15" s="142"/>
      <c r="AF15" s="140"/>
      <c r="AG15" s="142"/>
      <c r="AH15" s="140"/>
      <c r="AI15" s="143"/>
      <c r="AJ15" s="140"/>
      <c r="AK15" s="143">
        <v>2</v>
      </c>
      <c r="AL15" s="140">
        <v>2</v>
      </c>
      <c r="AM15" s="143">
        <v>4</v>
      </c>
      <c r="AN15" s="140">
        <v>4</v>
      </c>
      <c r="AO15" s="143"/>
      <c r="AP15" s="140">
        <v>2</v>
      </c>
      <c r="AQ15" s="143">
        <v>2</v>
      </c>
      <c r="AR15" s="140">
        <v>2</v>
      </c>
      <c r="AS15" s="143"/>
      <c r="AT15" s="140"/>
      <c r="AU15" s="143"/>
      <c r="AV15" s="140"/>
      <c r="AW15" s="143"/>
      <c r="AX15" s="140"/>
      <c r="AY15" s="143"/>
      <c r="AZ15" s="140"/>
      <c r="BA15" s="143"/>
      <c r="BB15" s="140">
        <v>2</v>
      </c>
      <c r="BC15" s="143">
        <v>2</v>
      </c>
      <c r="BD15" s="140"/>
      <c r="BE15" s="143"/>
      <c r="BF15" s="140"/>
      <c r="BG15" s="143"/>
      <c r="BH15" s="140"/>
      <c r="BI15" s="143"/>
      <c r="BJ15" s="140"/>
      <c r="BK15" s="143"/>
      <c r="BL15" s="140"/>
      <c r="BM15" s="143"/>
      <c r="BN15" s="143"/>
      <c r="BO15" s="140"/>
      <c r="BP15" s="143"/>
      <c r="BQ15" s="140"/>
      <c r="BR15" s="143">
        <v>2</v>
      </c>
      <c r="BS15" s="140">
        <v>2</v>
      </c>
      <c r="BT15" s="143">
        <v>2</v>
      </c>
      <c r="BU15" s="140">
        <v>2</v>
      </c>
      <c r="BV15" s="143"/>
      <c r="BW15" s="140"/>
      <c r="BX15" s="143"/>
      <c r="BY15" s="140"/>
      <c r="BZ15" s="143"/>
      <c r="CA15" s="140">
        <v>2</v>
      </c>
      <c r="CB15" s="143"/>
      <c r="CC15" s="140">
        <v>2</v>
      </c>
      <c r="CD15" s="143"/>
      <c r="CE15" s="140">
        <v>2</v>
      </c>
      <c r="CF15" s="143"/>
      <c r="CG15" s="140"/>
      <c r="CH15" s="143"/>
      <c r="CI15" s="140"/>
      <c r="CJ15" s="143"/>
      <c r="CK15" s="140"/>
      <c r="CL15" s="143"/>
      <c r="CM15" s="140"/>
      <c r="CN15" s="143"/>
      <c r="CO15" s="140"/>
      <c r="CP15" s="143"/>
      <c r="CQ15" s="140">
        <v>2</v>
      </c>
      <c r="CR15" s="143">
        <v>2</v>
      </c>
      <c r="CS15" s="140"/>
      <c r="CT15" s="143"/>
      <c r="CU15" s="140">
        <v>3</v>
      </c>
      <c r="CV15" s="143"/>
      <c r="CW15" s="140">
        <v>2</v>
      </c>
      <c r="CX15" s="143"/>
      <c r="CY15" s="140">
        <v>2</v>
      </c>
      <c r="CZ15" s="143"/>
      <c r="DA15" s="140"/>
      <c r="DB15" s="143"/>
      <c r="DC15" s="140"/>
      <c r="DD15" s="143"/>
      <c r="DE15" s="140">
        <v>3</v>
      </c>
      <c r="DF15" s="143">
        <v>3</v>
      </c>
      <c r="DG15" s="140">
        <v>3</v>
      </c>
      <c r="DH15" s="143"/>
      <c r="DI15" s="140">
        <v>3</v>
      </c>
      <c r="DJ15" s="143">
        <v>4</v>
      </c>
      <c r="DK15" s="140"/>
      <c r="DL15" s="143"/>
      <c r="DM15" s="140"/>
      <c r="DN15" s="143"/>
      <c r="DO15" s="140"/>
      <c r="DP15" s="143"/>
      <c r="DQ15" s="140"/>
      <c r="DR15" s="143"/>
      <c r="DS15" s="140"/>
      <c r="DT15" s="143"/>
      <c r="DU15" s="140">
        <v>2</v>
      </c>
      <c r="DV15" s="143">
        <v>2</v>
      </c>
      <c r="DW15" s="140"/>
      <c r="DX15" s="143"/>
      <c r="DY15" s="140">
        <v>2</v>
      </c>
      <c r="DZ15" s="143"/>
      <c r="EA15" s="140"/>
      <c r="EB15" s="143"/>
      <c r="EC15" s="140"/>
      <c r="ED15" s="143"/>
      <c r="EE15" s="140"/>
      <c r="EF15" s="143"/>
      <c r="EG15" s="140"/>
      <c r="EH15" s="143"/>
      <c r="EI15" s="140"/>
      <c r="EJ15" s="143"/>
      <c r="EK15" s="140"/>
      <c r="EL15" s="143"/>
      <c r="EM15" s="140"/>
      <c r="EN15" s="143"/>
      <c r="EO15" s="236"/>
      <c r="EP15" s="143"/>
      <c r="EQ15" s="140"/>
      <c r="ER15" s="143"/>
      <c r="ES15" s="140"/>
      <c r="ET15" s="143"/>
    </row>
    <row r="16" spans="2:150" ht="24.6" customHeight="1">
      <c r="B16" s="140">
        <v>11</v>
      </c>
      <c r="C16" s="68" t="s">
        <v>53</v>
      </c>
      <c r="D16" s="141">
        <v>2</v>
      </c>
      <c r="E16" s="142"/>
      <c r="F16" s="140"/>
      <c r="G16" s="142"/>
      <c r="H16" s="140"/>
      <c r="I16" s="142"/>
      <c r="J16" s="140"/>
      <c r="K16" s="142"/>
      <c r="L16" s="140"/>
      <c r="M16" s="142"/>
      <c r="N16" s="140"/>
      <c r="O16" s="142"/>
      <c r="P16" s="140"/>
      <c r="Q16" s="142"/>
      <c r="R16" s="140"/>
      <c r="S16" s="142"/>
      <c r="T16" s="140"/>
      <c r="U16" s="142"/>
      <c r="V16" s="140"/>
      <c r="W16" s="142"/>
      <c r="X16" s="140"/>
      <c r="Y16" s="142"/>
      <c r="Z16" s="140"/>
      <c r="AA16" s="142"/>
      <c r="AB16" s="140"/>
      <c r="AC16" s="142"/>
      <c r="AD16" s="140"/>
      <c r="AE16" s="142"/>
      <c r="AF16" s="140"/>
      <c r="AG16" s="142"/>
      <c r="AH16" s="140"/>
      <c r="AI16" s="143"/>
      <c r="AJ16" s="140"/>
      <c r="AK16" s="143"/>
      <c r="AL16" s="140"/>
      <c r="AM16" s="143"/>
      <c r="AN16" s="140"/>
      <c r="AO16" s="143"/>
      <c r="AP16" s="140"/>
      <c r="AQ16" s="143"/>
      <c r="AR16" s="140"/>
      <c r="AS16" s="143"/>
      <c r="AT16" s="140"/>
      <c r="AU16" s="143"/>
      <c r="AV16" s="140"/>
      <c r="AW16" s="143"/>
      <c r="AX16" s="140"/>
      <c r="AY16" s="143"/>
      <c r="AZ16" s="140"/>
      <c r="BA16" s="143"/>
      <c r="BB16" s="140"/>
      <c r="BC16" s="143"/>
      <c r="BD16" s="140"/>
      <c r="BE16" s="143"/>
      <c r="BF16" s="140"/>
      <c r="BG16" s="143"/>
      <c r="BH16" s="140"/>
      <c r="BI16" s="143"/>
      <c r="BJ16" s="140"/>
      <c r="BK16" s="143"/>
      <c r="BL16" s="140"/>
      <c r="BM16" s="143"/>
      <c r="BN16" s="143"/>
      <c r="BO16" s="140"/>
      <c r="BP16" s="143"/>
      <c r="BQ16" s="140"/>
      <c r="BR16" s="143"/>
      <c r="BS16" s="140"/>
      <c r="BT16" s="143"/>
      <c r="BU16" s="140"/>
      <c r="BV16" s="143"/>
      <c r="BW16" s="140"/>
      <c r="BX16" s="143"/>
      <c r="BY16" s="140"/>
      <c r="BZ16" s="143"/>
      <c r="CA16" s="140"/>
      <c r="CB16" s="143"/>
      <c r="CC16" s="140"/>
      <c r="CD16" s="143"/>
      <c r="CE16" s="140"/>
      <c r="CF16" s="143"/>
      <c r="CG16" s="140"/>
      <c r="CH16" s="143"/>
      <c r="CI16" s="140"/>
      <c r="CJ16" s="143"/>
      <c r="CK16" s="140"/>
      <c r="CL16" s="143"/>
      <c r="CM16" s="140"/>
      <c r="CN16" s="143"/>
      <c r="CO16" s="140"/>
      <c r="CP16" s="143">
        <v>2</v>
      </c>
      <c r="CQ16" s="140"/>
      <c r="CR16" s="143"/>
      <c r="CS16" s="140"/>
      <c r="CT16" s="143"/>
      <c r="CU16" s="140"/>
      <c r="CV16" s="143"/>
      <c r="CW16" s="140"/>
      <c r="CX16" s="143"/>
      <c r="CY16" s="140"/>
      <c r="CZ16" s="143"/>
      <c r="DA16" s="140"/>
      <c r="DB16" s="143">
        <v>4</v>
      </c>
      <c r="DC16" s="140">
        <v>4</v>
      </c>
      <c r="DD16" s="143"/>
      <c r="DE16" s="140"/>
      <c r="DF16" s="143">
        <v>2</v>
      </c>
      <c r="DG16" s="140">
        <v>4</v>
      </c>
      <c r="DH16" s="143">
        <v>2</v>
      </c>
      <c r="DI16" s="140"/>
      <c r="DJ16" s="143"/>
      <c r="DK16" s="140"/>
      <c r="DL16" s="143"/>
      <c r="DM16" s="140"/>
      <c r="DN16" s="143">
        <v>2</v>
      </c>
      <c r="DO16" s="140">
        <v>2</v>
      </c>
      <c r="DP16" s="143"/>
      <c r="DQ16" s="140"/>
      <c r="DR16" s="143"/>
      <c r="DS16" s="140"/>
      <c r="DT16" s="143"/>
      <c r="DU16" s="140"/>
      <c r="DV16" s="143"/>
      <c r="DW16" s="140">
        <v>2</v>
      </c>
      <c r="DX16" s="143"/>
      <c r="DY16" s="140">
        <v>2</v>
      </c>
      <c r="DZ16" s="143">
        <v>2</v>
      </c>
      <c r="EA16" s="140">
        <v>2</v>
      </c>
      <c r="EB16" s="143">
        <v>2</v>
      </c>
      <c r="EC16" s="140"/>
      <c r="ED16" s="143"/>
      <c r="EE16" s="140"/>
      <c r="EF16" s="143"/>
      <c r="EG16" s="140">
        <v>2</v>
      </c>
      <c r="EH16" s="143">
        <v>3</v>
      </c>
      <c r="EI16" s="140"/>
      <c r="EJ16" s="143">
        <v>2</v>
      </c>
      <c r="EK16" s="140">
        <v>2</v>
      </c>
      <c r="EL16" s="143">
        <v>2</v>
      </c>
      <c r="EM16" s="140"/>
      <c r="EN16" s="143"/>
      <c r="EO16" s="236"/>
      <c r="EP16" s="143"/>
      <c r="EQ16" s="140">
        <v>2</v>
      </c>
      <c r="ER16" s="143"/>
      <c r="ES16" s="140">
        <v>1</v>
      </c>
      <c r="ET16" s="143"/>
    </row>
    <row r="17" spans="2:150" ht="24.6" customHeight="1">
      <c r="B17" s="140">
        <v>12</v>
      </c>
      <c r="C17" s="68" t="s">
        <v>135</v>
      </c>
      <c r="D17" s="141"/>
      <c r="E17" s="142"/>
      <c r="F17" s="140"/>
      <c r="G17" s="142"/>
      <c r="H17" s="140"/>
      <c r="I17" s="142"/>
      <c r="J17" s="140"/>
      <c r="K17" s="142"/>
      <c r="L17" s="140"/>
      <c r="M17" s="142"/>
      <c r="N17" s="140"/>
      <c r="O17" s="142"/>
      <c r="P17" s="140"/>
      <c r="Q17" s="142"/>
      <c r="R17" s="140"/>
      <c r="S17" s="142"/>
      <c r="T17" s="140"/>
      <c r="U17" s="142"/>
      <c r="V17" s="140"/>
      <c r="W17" s="142"/>
      <c r="X17" s="140"/>
      <c r="Y17" s="142"/>
      <c r="Z17" s="140"/>
      <c r="AA17" s="142"/>
      <c r="AB17" s="140"/>
      <c r="AC17" s="142"/>
      <c r="AD17" s="140"/>
      <c r="AE17" s="142"/>
      <c r="AF17" s="140"/>
      <c r="AG17" s="142"/>
      <c r="AH17" s="140"/>
      <c r="AI17" s="143"/>
      <c r="AJ17" s="140"/>
      <c r="AK17" s="143"/>
      <c r="AL17" s="140"/>
      <c r="AM17" s="143"/>
      <c r="AN17" s="140"/>
      <c r="AO17" s="143"/>
      <c r="AP17" s="140"/>
      <c r="AQ17" s="143"/>
      <c r="AR17" s="140"/>
      <c r="AS17" s="143"/>
      <c r="AT17" s="140"/>
      <c r="AU17" s="143"/>
      <c r="AV17" s="140"/>
      <c r="AW17" s="143"/>
      <c r="AX17" s="140"/>
      <c r="AY17" s="143"/>
      <c r="AZ17" s="140"/>
      <c r="BA17" s="143"/>
      <c r="BB17" s="140"/>
      <c r="BC17" s="143"/>
      <c r="BD17" s="140"/>
      <c r="BE17" s="143"/>
      <c r="BF17" s="140"/>
      <c r="BG17" s="143"/>
      <c r="BH17" s="140"/>
      <c r="BI17" s="143"/>
      <c r="BJ17" s="140"/>
      <c r="BK17" s="143"/>
      <c r="BL17" s="140"/>
      <c r="BM17" s="143"/>
      <c r="BN17" s="143"/>
      <c r="BO17" s="140"/>
      <c r="BP17" s="143"/>
      <c r="BQ17" s="140"/>
      <c r="BR17" s="143"/>
      <c r="BS17" s="140"/>
      <c r="BT17" s="143"/>
      <c r="BU17" s="140"/>
      <c r="BV17" s="143">
        <v>2</v>
      </c>
      <c r="BW17" s="140">
        <v>2</v>
      </c>
      <c r="BX17" s="143"/>
      <c r="BY17" s="140"/>
      <c r="BZ17" s="143"/>
      <c r="CA17" s="140"/>
      <c r="CB17" s="143"/>
      <c r="CC17" s="140"/>
      <c r="CD17" s="143"/>
      <c r="CE17" s="140"/>
      <c r="CF17" s="143"/>
      <c r="CG17" s="140"/>
      <c r="CH17" s="143"/>
      <c r="CI17" s="140"/>
      <c r="CJ17" s="143"/>
      <c r="CK17" s="140"/>
      <c r="CL17" s="143"/>
      <c r="CM17" s="140"/>
      <c r="CN17" s="143"/>
      <c r="CO17" s="140"/>
      <c r="CP17" s="143"/>
      <c r="CQ17" s="140"/>
      <c r="CR17" s="143"/>
      <c r="CS17" s="140"/>
      <c r="CT17" s="143"/>
      <c r="CU17" s="140"/>
      <c r="CV17" s="143"/>
      <c r="CW17" s="140"/>
      <c r="CX17" s="143"/>
      <c r="CY17" s="140"/>
      <c r="CZ17" s="143"/>
      <c r="DA17" s="140"/>
      <c r="DB17" s="143"/>
      <c r="DC17" s="140"/>
      <c r="DD17" s="143"/>
      <c r="DE17" s="140"/>
      <c r="DF17" s="143"/>
      <c r="DG17" s="140"/>
      <c r="DH17" s="143"/>
      <c r="DI17" s="140"/>
      <c r="DJ17" s="143"/>
      <c r="DK17" s="140"/>
      <c r="DL17" s="143"/>
      <c r="DM17" s="140"/>
      <c r="DN17" s="143"/>
      <c r="DO17" s="140"/>
      <c r="DP17" s="143"/>
      <c r="DQ17" s="140"/>
      <c r="DR17" s="143"/>
      <c r="DS17" s="140"/>
      <c r="DT17" s="143"/>
      <c r="DU17" s="140"/>
      <c r="DV17" s="143"/>
      <c r="DW17" s="140"/>
      <c r="DX17" s="143"/>
      <c r="DY17" s="140"/>
      <c r="DZ17" s="143"/>
      <c r="EA17" s="140"/>
      <c r="EB17" s="143"/>
      <c r="EC17" s="140"/>
      <c r="ED17" s="143"/>
      <c r="EE17" s="140"/>
      <c r="EF17" s="143"/>
      <c r="EG17" s="140"/>
      <c r="EH17" s="143"/>
      <c r="EI17" s="140"/>
      <c r="EJ17" s="143"/>
      <c r="EK17" s="140"/>
      <c r="EL17" s="143"/>
      <c r="EM17" s="140"/>
      <c r="EN17" s="143"/>
      <c r="EO17" s="236"/>
      <c r="EP17" s="143"/>
      <c r="EQ17" s="140"/>
      <c r="ER17" s="143"/>
      <c r="ES17" s="140"/>
      <c r="ET17" s="143"/>
    </row>
    <row r="18" spans="2:150" ht="24.6" customHeight="1">
      <c r="B18" s="140">
        <v>13</v>
      </c>
      <c r="C18" s="69" t="s">
        <v>54</v>
      </c>
      <c r="D18" s="144" t="s">
        <v>22</v>
      </c>
      <c r="E18" s="142"/>
      <c r="F18" s="140"/>
      <c r="G18" s="142"/>
      <c r="H18" s="140"/>
      <c r="I18" s="142"/>
      <c r="J18" s="140"/>
      <c r="K18" s="142"/>
      <c r="L18" s="140"/>
      <c r="M18" s="142">
        <v>2</v>
      </c>
      <c r="N18" s="140">
        <v>1</v>
      </c>
      <c r="O18" s="142"/>
      <c r="P18" s="140"/>
      <c r="Q18" s="142">
        <v>1</v>
      </c>
      <c r="R18" s="140"/>
      <c r="S18" s="142"/>
      <c r="T18" s="140"/>
      <c r="U18" s="142"/>
      <c r="V18" s="140"/>
      <c r="W18" s="142"/>
      <c r="X18" s="140"/>
      <c r="Y18" s="142"/>
      <c r="Z18" s="140"/>
      <c r="AA18" s="142">
        <v>2</v>
      </c>
      <c r="AB18" s="140"/>
      <c r="AC18" s="142"/>
      <c r="AD18" s="140">
        <v>1</v>
      </c>
      <c r="AE18" s="142"/>
      <c r="AF18" s="140"/>
      <c r="AG18" s="142"/>
      <c r="AH18" s="140"/>
      <c r="AI18" s="143"/>
      <c r="AJ18" s="140"/>
      <c r="AK18" s="143"/>
      <c r="AL18" s="140"/>
      <c r="AM18" s="143"/>
      <c r="AN18" s="140"/>
      <c r="AO18" s="143"/>
      <c r="AP18" s="140"/>
      <c r="AQ18" s="143"/>
      <c r="AR18" s="140"/>
      <c r="AS18" s="143"/>
      <c r="AT18" s="140"/>
      <c r="AU18" s="143"/>
      <c r="AV18" s="140"/>
      <c r="AW18" s="143"/>
      <c r="AX18" s="140"/>
      <c r="AY18" s="143"/>
      <c r="AZ18" s="140"/>
      <c r="BA18" s="143"/>
      <c r="BB18" s="140"/>
      <c r="BC18" s="143"/>
      <c r="BD18" s="140"/>
      <c r="BE18" s="143"/>
      <c r="BF18" s="140"/>
      <c r="BG18" s="143"/>
      <c r="BH18" s="140"/>
      <c r="BI18" s="143"/>
      <c r="BJ18" s="140"/>
      <c r="BK18" s="143"/>
      <c r="BL18" s="140"/>
      <c r="BM18" s="143"/>
      <c r="BN18" s="143"/>
      <c r="BO18" s="140"/>
      <c r="BP18" s="143"/>
      <c r="BQ18" s="140"/>
      <c r="BR18" s="143"/>
      <c r="BS18" s="140"/>
      <c r="BT18" s="143"/>
      <c r="BU18" s="140"/>
      <c r="BV18" s="143"/>
      <c r="BW18" s="140"/>
      <c r="BX18" s="143"/>
      <c r="BY18" s="140"/>
      <c r="BZ18" s="143"/>
      <c r="CA18" s="140">
        <v>1</v>
      </c>
      <c r="CB18" s="143"/>
      <c r="CC18" s="140"/>
      <c r="CD18" s="143">
        <v>1</v>
      </c>
      <c r="CE18" s="140"/>
      <c r="CF18" s="143"/>
      <c r="CG18" s="140"/>
      <c r="CH18" s="143"/>
      <c r="CI18" s="140"/>
      <c r="CJ18" s="143"/>
      <c r="CK18" s="140"/>
      <c r="CL18" s="143"/>
      <c r="CM18" s="140"/>
      <c r="CN18" s="143"/>
      <c r="CO18" s="140"/>
      <c r="CP18" s="143"/>
      <c r="CQ18" s="140"/>
      <c r="CR18" s="143"/>
      <c r="CS18" s="140"/>
      <c r="CT18" s="143"/>
      <c r="CU18" s="140"/>
      <c r="CV18" s="143"/>
      <c r="CW18" s="140"/>
      <c r="CX18" s="143"/>
      <c r="CY18" s="140"/>
      <c r="CZ18" s="143"/>
      <c r="DA18" s="140"/>
      <c r="DB18" s="143"/>
      <c r="DC18" s="140"/>
      <c r="DD18" s="143"/>
      <c r="DE18" s="140"/>
      <c r="DF18" s="143"/>
      <c r="DG18" s="140"/>
      <c r="DH18" s="143"/>
      <c r="DI18" s="140"/>
      <c r="DJ18" s="143"/>
      <c r="DK18" s="140"/>
      <c r="DL18" s="143"/>
      <c r="DM18" s="140"/>
      <c r="DN18" s="143"/>
      <c r="DO18" s="140"/>
      <c r="DP18" s="143"/>
      <c r="DQ18" s="140"/>
      <c r="DR18" s="143"/>
      <c r="DS18" s="140"/>
      <c r="DT18" s="143"/>
      <c r="DU18" s="140"/>
      <c r="DV18" s="143"/>
      <c r="DW18" s="140"/>
      <c r="DX18" s="143"/>
      <c r="DY18" s="140"/>
      <c r="DZ18" s="143">
        <v>1</v>
      </c>
      <c r="EA18" s="140"/>
      <c r="EB18" s="143"/>
      <c r="EC18" s="140"/>
      <c r="ED18" s="143"/>
      <c r="EE18" s="140"/>
      <c r="EF18" s="143"/>
      <c r="EG18" s="140"/>
      <c r="EH18" s="143"/>
      <c r="EI18" s="140"/>
      <c r="EJ18" s="143"/>
      <c r="EK18" s="140"/>
      <c r="EL18" s="143"/>
      <c r="EM18" s="140"/>
      <c r="EN18" s="143"/>
      <c r="EO18" s="236"/>
      <c r="EP18" s="143"/>
      <c r="EQ18" s="140"/>
      <c r="ER18" s="143"/>
      <c r="ES18" s="140"/>
      <c r="ET18" s="143"/>
    </row>
    <row r="19" spans="2:150" ht="24.6" customHeight="1">
      <c r="B19" s="140">
        <v>14</v>
      </c>
      <c r="C19" s="69" t="s">
        <v>55</v>
      </c>
      <c r="D19" s="144" t="s">
        <v>22</v>
      </c>
      <c r="E19" s="142"/>
      <c r="F19" s="140"/>
      <c r="G19" s="142"/>
      <c r="H19" s="140"/>
      <c r="I19" s="142"/>
      <c r="J19" s="140"/>
      <c r="K19" s="142"/>
      <c r="L19" s="140"/>
      <c r="M19" s="142"/>
      <c r="N19" s="140"/>
      <c r="O19" s="142"/>
      <c r="P19" s="140"/>
      <c r="Q19" s="142"/>
      <c r="R19" s="140"/>
      <c r="S19" s="142"/>
      <c r="T19" s="140"/>
      <c r="U19" s="142"/>
      <c r="V19" s="140"/>
      <c r="W19" s="142"/>
      <c r="X19" s="140"/>
      <c r="Y19" s="142"/>
      <c r="Z19" s="140"/>
      <c r="AA19" s="142"/>
      <c r="AB19" s="140"/>
      <c r="AC19" s="142"/>
      <c r="AD19" s="140"/>
      <c r="AE19" s="142">
        <v>1</v>
      </c>
      <c r="AF19" s="140"/>
      <c r="AG19" s="142"/>
      <c r="AH19" s="140"/>
      <c r="AI19" s="143"/>
      <c r="AJ19" s="140"/>
      <c r="AK19" s="143"/>
      <c r="AL19" s="140"/>
      <c r="AM19" s="143"/>
      <c r="AN19" s="140"/>
      <c r="AO19" s="143"/>
      <c r="AP19" s="140"/>
      <c r="AQ19" s="143"/>
      <c r="AR19" s="140"/>
      <c r="AS19" s="143"/>
      <c r="AT19" s="140"/>
      <c r="AU19" s="143"/>
      <c r="AV19" s="140"/>
      <c r="AW19" s="143"/>
      <c r="AX19" s="140"/>
      <c r="AY19" s="143"/>
      <c r="AZ19" s="140"/>
      <c r="BA19" s="143"/>
      <c r="BB19" s="140"/>
      <c r="BC19" s="143"/>
      <c r="BD19" s="140"/>
      <c r="BE19" s="143"/>
      <c r="BF19" s="140"/>
      <c r="BG19" s="143"/>
      <c r="BH19" s="140"/>
      <c r="BI19" s="143"/>
      <c r="BJ19" s="140"/>
      <c r="BK19" s="143"/>
      <c r="BL19" s="140"/>
      <c r="BM19" s="143"/>
      <c r="BN19" s="143"/>
      <c r="BO19" s="140"/>
      <c r="BP19" s="143"/>
      <c r="BQ19" s="140"/>
      <c r="BR19" s="143"/>
      <c r="BS19" s="140"/>
      <c r="BT19" s="143"/>
      <c r="BU19" s="140"/>
      <c r="BV19" s="143"/>
      <c r="BW19" s="140"/>
      <c r="BX19" s="143"/>
      <c r="BY19" s="140"/>
      <c r="BZ19" s="143"/>
      <c r="CA19" s="140"/>
      <c r="CB19" s="143"/>
      <c r="CC19" s="140"/>
      <c r="CD19" s="143"/>
      <c r="CE19" s="140"/>
      <c r="CF19" s="143"/>
      <c r="CG19" s="140"/>
      <c r="CH19" s="143"/>
      <c r="CI19" s="140"/>
      <c r="CJ19" s="143"/>
      <c r="CK19" s="140"/>
      <c r="CL19" s="143"/>
      <c r="CM19" s="140"/>
      <c r="CN19" s="143"/>
      <c r="CO19" s="140"/>
      <c r="CP19" s="143"/>
      <c r="CQ19" s="140"/>
      <c r="CR19" s="143"/>
      <c r="CS19" s="140">
        <v>2</v>
      </c>
      <c r="CT19" s="143">
        <v>2</v>
      </c>
      <c r="CU19" s="140"/>
      <c r="CV19" s="143"/>
      <c r="CW19" s="140"/>
      <c r="CX19" s="143"/>
      <c r="CY19" s="140"/>
      <c r="CZ19" s="143"/>
      <c r="DA19" s="140">
        <v>2</v>
      </c>
      <c r="DB19" s="143"/>
      <c r="DC19" s="140">
        <v>2</v>
      </c>
      <c r="DD19" s="143">
        <v>2</v>
      </c>
      <c r="DE19" s="140">
        <v>2</v>
      </c>
      <c r="DF19" s="143">
        <v>2</v>
      </c>
      <c r="DG19" s="140"/>
      <c r="DH19" s="143"/>
      <c r="DI19" s="140"/>
      <c r="DJ19" s="143"/>
      <c r="DK19" s="140"/>
      <c r="DL19" s="143"/>
      <c r="DM19" s="140"/>
      <c r="DN19" s="143"/>
      <c r="DO19" s="140"/>
      <c r="DP19" s="143"/>
      <c r="DQ19" s="140"/>
      <c r="DR19" s="143"/>
      <c r="DS19" s="140"/>
      <c r="DT19" s="143"/>
      <c r="DU19" s="140"/>
      <c r="DV19" s="143"/>
      <c r="DW19" s="140"/>
      <c r="DX19" s="143"/>
      <c r="DY19" s="140"/>
      <c r="DZ19" s="143"/>
      <c r="EA19" s="140"/>
      <c r="EB19" s="143"/>
      <c r="EC19" s="140"/>
      <c r="ED19" s="143"/>
      <c r="EE19" s="140"/>
      <c r="EF19" s="143"/>
      <c r="EG19" s="140"/>
      <c r="EH19" s="143"/>
      <c r="EI19" s="140"/>
      <c r="EJ19" s="143"/>
      <c r="EK19" s="140"/>
      <c r="EL19" s="143"/>
      <c r="EM19" s="140"/>
      <c r="EN19" s="143"/>
      <c r="EO19" s="236"/>
      <c r="EP19" s="143"/>
      <c r="EQ19" s="140"/>
      <c r="ER19" s="143"/>
      <c r="ES19" s="140"/>
      <c r="ET19" s="143"/>
    </row>
    <row r="20" spans="2:150" ht="24.6" customHeight="1">
      <c r="B20" s="140">
        <v>15</v>
      </c>
      <c r="C20" s="69" t="s">
        <v>143</v>
      </c>
      <c r="D20" s="164">
        <f>-CI6</f>
        <v>0</v>
      </c>
      <c r="E20" s="142"/>
      <c r="F20" s="140"/>
      <c r="G20" s="142"/>
      <c r="H20" s="140"/>
      <c r="I20" s="142"/>
      <c r="J20" s="140"/>
      <c r="K20" s="142"/>
      <c r="L20" s="140"/>
      <c r="M20" s="142"/>
      <c r="N20" s="140"/>
      <c r="O20" s="142"/>
      <c r="P20" s="140"/>
      <c r="Q20" s="142"/>
      <c r="R20" s="140"/>
      <c r="S20" s="142"/>
      <c r="T20" s="140"/>
      <c r="U20" s="142"/>
      <c r="V20" s="140"/>
      <c r="W20" s="142"/>
      <c r="X20" s="140"/>
      <c r="Y20" s="142"/>
      <c r="Z20" s="140"/>
      <c r="AA20" s="142"/>
      <c r="AB20" s="140"/>
      <c r="AC20" s="142"/>
      <c r="AD20" s="140"/>
      <c r="AE20" s="142"/>
      <c r="AF20" s="140"/>
      <c r="AG20" s="142"/>
      <c r="AH20" s="140"/>
      <c r="AI20" s="143"/>
      <c r="AJ20" s="140"/>
      <c r="AK20" s="143"/>
      <c r="AL20" s="140"/>
      <c r="AM20" s="143"/>
      <c r="AN20" s="140"/>
      <c r="AO20" s="143"/>
      <c r="AP20" s="140"/>
      <c r="AQ20" s="143"/>
      <c r="AR20" s="140"/>
      <c r="AS20" s="143"/>
      <c r="AT20" s="140"/>
      <c r="AU20" s="143"/>
      <c r="AV20" s="140"/>
      <c r="AW20" s="143"/>
      <c r="AX20" s="140"/>
      <c r="AY20" s="143"/>
      <c r="AZ20" s="140"/>
      <c r="BA20" s="143"/>
      <c r="BB20" s="140"/>
      <c r="BC20" s="143"/>
      <c r="BD20" s="140"/>
      <c r="BE20" s="143"/>
      <c r="BF20" s="140"/>
      <c r="BG20" s="143"/>
      <c r="BH20" s="140"/>
      <c r="BI20" s="143"/>
      <c r="BJ20" s="140"/>
      <c r="BK20" s="143"/>
      <c r="BL20" s="140"/>
      <c r="BM20" s="143"/>
      <c r="BN20" s="143"/>
      <c r="BO20" s="140"/>
      <c r="BP20" s="143"/>
      <c r="BQ20" s="140"/>
      <c r="BR20" s="143"/>
      <c r="BS20" s="140"/>
      <c r="BT20" s="143"/>
      <c r="BU20" s="140"/>
      <c r="BV20" s="143"/>
      <c r="BW20" s="140"/>
      <c r="BX20" s="143"/>
      <c r="BY20" s="140"/>
      <c r="BZ20" s="143"/>
      <c r="CA20" s="140"/>
      <c r="CB20" s="143"/>
      <c r="CC20" s="140"/>
      <c r="CD20" s="143"/>
      <c r="CE20" s="140"/>
      <c r="CF20" s="143"/>
      <c r="CG20" s="140"/>
      <c r="CH20" s="143"/>
      <c r="CI20" s="140">
        <v>2</v>
      </c>
      <c r="CJ20" s="143"/>
      <c r="CK20" s="140"/>
      <c r="CL20" s="143"/>
      <c r="CM20" s="140"/>
      <c r="CN20" s="143"/>
      <c r="CO20" s="140"/>
      <c r="CP20" s="143">
        <v>2</v>
      </c>
      <c r="CQ20" s="140">
        <v>2</v>
      </c>
      <c r="CR20" s="143"/>
      <c r="CS20" s="140"/>
      <c r="CT20" s="143"/>
      <c r="CU20" s="140">
        <v>2</v>
      </c>
      <c r="CV20" s="143"/>
      <c r="CW20" s="140"/>
      <c r="CX20" s="143">
        <v>2</v>
      </c>
      <c r="CY20" s="140"/>
      <c r="CZ20" s="143"/>
      <c r="DA20" s="140"/>
      <c r="DB20" s="143"/>
      <c r="DC20" s="140"/>
      <c r="DD20" s="143">
        <v>2</v>
      </c>
      <c r="DE20" s="140"/>
      <c r="DF20" s="143"/>
      <c r="DG20" s="140"/>
      <c r="DH20" s="143"/>
      <c r="DI20" s="140"/>
      <c r="DJ20" s="143"/>
      <c r="DK20" s="140"/>
      <c r="DL20" s="143"/>
      <c r="DM20" s="140"/>
      <c r="DN20" s="143"/>
      <c r="DO20" s="140"/>
      <c r="DP20" s="143"/>
      <c r="DQ20" s="140"/>
      <c r="DR20" s="143"/>
      <c r="DS20" s="140"/>
      <c r="DT20" s="143"/>
      <c r="DU20" s="140"/>
      <c r="DV20" s="143"/>
      <c r="DW20" s="140"/>
      <c r="DX20" s="143"/>
      <c r="DY20" s="140"/>
      <c r="DZ20" s="143"/>
      <c r="EA20" s="140"/>
      <c r="EB20" s="143"/>
      <c r="EC20" s="140"/>
      <c r="ED20" s="143"/>
      <c r="EE20" s="140"/>
      <c r="EF20" s="143"/>
      <c r="EG20" s="140"/>
      <c r="EH20" s="143"/>
      <c r="EI20" s="140"/>
      <c r="EJ20" s="143"/>
      <c r="EK20" s="140"/>
      <c r="EL20" s="143"/>
      <c r="EM20" s="140"/>
      <c r="EN20" s="143"/>
      <c r="EO20" s="236"/>
      <c r="EP20" s="143">
        <v>2</v>
      </c>
      <c r="EQ20" s="140"/>
      <c r="ER20" s="143"/>
      <c r="ES20" s="140"/>
      <c r="ET20" s="143"/>
    </row>
    <row r="21" spans="2:150" ht="24.6" customHeight="1">
      <c r="B21" s="140">
        <v>16</v>
      </c>
      <c r="C21" s="68" t="s">
        <v>56</v>
      </c>
      <c r="D21" s="141" t="s">
        <v>22</v>
      </c>
      <c r="E21" s="142"/>
      <c r="F21" s="140"/>
      <c r="G21" s="142"/>
      <c r="H21" s="140"/>
      <c r="I21" s="142"/>
      <c r="J21" s="140"/>
      <c r="K21" s="142"/>
      <c r="L21" s="140"/>
      <c r="M21" s="142"/>
      <c r="N21" s="140"/>
      <c r="O21" s="142"/>
      <c r="P21" s="140"/>
      <c r="Q21" s="142"/>
      <c r="R21" s="140"/>
      <c r="S21" s="142"/>
      <c r="T21" s="140"/>
      <c r="U21" s="142"/>
      <c r="V21" s="140"/>
      <c r="W21" s="142"/>
      <c r="X21" s="140"/>
      <c r="Y21" s="142"/>
      <c r="Z21" s="140"/>
      <c r="AA21" s="142">
        <v>2</v>
      </c>
      <c r="AB21" s="140"/>
      <c r="AC21" s="142"/>
      <c r="AD21" s="140"/>
      <c r="AE21" s="142"/>
      <c r="AF21" s="140"/>
      <c r="AG21" s="142"/>
      <c r="AH21" s="140"/>
      <c r="AI21" s="143"/>
      <c r="AJ21" s="140"/>
      <c r="AK21" s="143"/>
      <c r="AL21" s="140"/>
      <c r="AM21" s="143"/>
      <c r="AN21" s="140"/>
      <c r="AO21" s="143"/>
      <c r="AP21" s="140">
        <v>2</v>
      </c>
      <c r="AQ21" s="143"/>
      <c r="AR21" s="140"/>
      <c r="AS21" s="143"/>
      <c r="AT21" s="140">
        <v>1</v>
      </c>
      <c r="AU21" s="143">
        <v>1</v>
      </c>
      <c r="AV21" s="140"/>
      <c r="AW21" s="143"/>
      <c r="AX21" s="140"/>
      <c r="AY21" s="143"/>
      <c r="AZ21" s="140"/>
      <c r="BA21" s="143"/>
      <c r="BB21" s="140"/>
      <c r="BC21" s="143"/>
      <c r="BD21" s="140"/>
      <c r="BE21" s="143"/>
      <c r="BF21" s="140"/>
      <c r="BG21" s="143"/>
      <c r="BH21" s="140"/>
      <c r="BI21" s="143"/>
      <c r="BJ21" s="140"/>
      <c r="BK21" s="143"/>
      <c r="BL21" s="140"/>
      <c r="BM21" s="143"/>
      <c r="BN21" s="143"/>
      <c r="BO21" s="140"/>
      <c r="BP21" s="143"/>
      <c r="BQ21" s="140"/>
      <c r="BR21" s="143"/>
      <c r="BS21" s="140"/>
      <c r="BT21" s="143"/>
      <c r="BU21" s="140"/>
      <c r="BV21" s="143"/>
      <c r="BW21" s="140"/>
      <c r="BX21" s="143"/>
      <c r="BY21" s="140"/>
      <c r="BZ21" s="143"/>
      <c r="CA21" s="140"/>
      <c r="CB21" s="143"/>
      <c r="CC21" s="140"/>
      <c r="CD21" s="143"/>
      <c r="CE21" s="140"/>
      <c r="CF21" s="143"/>
      <c r="CG21" s="140"/>
      <c r="CH21" s="143"/>
      <c r="CI21" s="140"/>
      <c r="CJ21" s="143"/>
      <c r="CK21" s="140"/>
      <c r="CL21" s="143"/>
      <c r="CM21" s="140"/>
      <c r="CN21" s="143"/>
      <c r="CO21" s="140"/>
      <c r="CP21" s="143"/>
      <c r="CQ21" s="140"/>
      <c r="CR21" s="143"/>
      <c r="CS21" s="140"/>
      <c r="CT21" s="143"/>
      <c r="CU21" s="140"/>
      <c r="CV21" s="143"/>
      <c r="CW21" s="140"/>
      <c r="CX21" s="143"/>
      <c r="CY21" s="140"/>
      <c r="CZ21" s="143"/>
      <c r="DA21" s="140"/>
      <c r="DB21" s="143"/>
      <c r="DC21" s="140"/>
      <c r="DD21" s="143"/>
      <c r="DE21" s="140"/>
      <c r="DF21" s="143"/>
      <c r="DG21" s="140"/>
      <c r="DH21" s="143"/>
      <c r="DI21" s="140"/>
      <c r="DJ21" s="143"/>
      <c r="DK21" s="140"/>
      <c r="DL21" s="143"/>
      <c r="DM21" s="140"/>
      <c r="DN21" s="143"/>
      <c r="DO21" s="140"/>
      <c r="DP21" s="143"/>
      <c r="DQ21" s="140"/>
      <c r="DR21" s="143"/>
      <c r="DS21" s="140"/>
      <c r="DT21" s="143"/>
      <c r="DU21" s="140"/>
      <c r="DV21" s="143"/>
      <c r="DW21" s="140"/>
      <c r="DX21" s="143"/>
      <c r="DY21" s="140"/>
      <c r="DZ21" s="143"/>
      <c r="EA21" s="140"/>
      <c r="EB21" s="143"/>
      <c r="EC21" s="140"/>
      <c r="ED21" s="143"/>
      <c r="EE21" s="140"/>
      <c r="EF21" s="143"/>
      <c r="EG21" s="140"/>
      <c r="EH21" s="143"/>
      <c r="EI21" s="140"/>
      <c r="EJ21" s="143"/>
      <c r="EK21" s="140"/>
      <c r="EL21" s="143"/>
      <c r="EM21" s="140"/>
      <c r="EN21" s="143"/>
      <c r="EO21" s="237"/>
      <c r="EP21" s="143"/>
      <c r="EQ21" s="140"/>
      <c r="ER21" s="143"/>
      <c r="ES21" s="140"/>
      <c r="ET21" s="143"/>
    </row>
    <row r="22" spans="2:150" s="67" customFormat="1" ht="35.25" customHeight="1">
      <c r="B22" s="187" t="s">
        <v>57</v>
      </c>
      <c r="C22" s="188"/>
      <c r="D22" s="163">
        <f>SUM(D7:D21)</f>
        <v>20</v>
      </c>
      <c r="E22" s="145">
        <f t="shared" ref="E22:AJ22" si="43">SUM(E6:E21)</f>
        <v>2</v>
      </c>
      <c r="F22" s="145">
        <f t="shared" si="43"/>
        <v>0</v>
      </c>
      <c r="G22" s="145">
        <f t="shared" si="43"/>
        <v>10</v>
      </c>
      <c r="H22" s="145">
        <f t="shared" si="43"/>
        <v>6</v>
      </c>
      <c r="I22" s="145">
        <f t="shared" si="43"/>
        <v>8</v>
      </c>
      <c r="J22" s="145">
        <f t="shared" si="43"/>
        <v>6</v>
      </c>
      <c r="K22" s="145">
        <f t="shared" si="43"/>
        <v>2</v>
      </c>
      <c r="L22" s="145">
        <f t="shared" si="43"/>
        <v>0</v>
      </c>
      <c r="M22" s="145">
        <f t="shared" si="43"/>
        <v>10</v>
      </c>
      <c r="N22" s="145">
        <f t="shared" si="43"/>
        <v>8</v>
      </c>
      <c r="O22" s="145">
        <f t="shared" si="43"/>
        <v>7</v>
      </c>
      <c r="P22" s="145">
        <f t="shared" si="43"/>
        <v>0</v>
      </c>
      <c r="Q22" s="145">
        <f t="shared" si="43"/>
        <v>5</v>
      </c>
      <c r="R22" s="145">
        <f t="shared" si="43"/>
        <v>5</v>
      </c>
      <c r="S22" s="145">
        <f t="shared" si="43"/>
        <v>5</v>
      </c>
      <c r="T22" s="145">
        <f t="shared" si="43"/>
        <v>2</v>
      </c>
      <c r="U22" s="145">
        <f t="shared" si="43"/>
        <v>6</v>
      </c>
      <c r="V22" s="145">
        <f t="shared" si="43"/>
        <v>8</v>
      </c>
      <c r="W22" s="145">
        <f t="shared" si="43"/>
        <v>10</v>
      </c>
      <c r="X22" s="145">
        <f t="shared" si="43"/>
        <v>0</v>
      </c>
      <c r="Y22" s="145">
        <f t="shared" si="43"/>
        <v>8</v>
      </c>
      <c r="Z22" s="145">
        <f t="shared" si="43"/>
        <v>6</v>
      </c>
      <c r="AA22" s="145">
        <f t="shared" si="43"/>
        <v>7</v>
      </c>
      <c r="AB22" s="145">
        <f t="shared" si="43"/>
        <v>0</v>
      </c>
      <c r="AC22" s="145">
        <f t="shared" si="43"/>
        <v>7</v>
      </c>
      <c r="AD22" s="145">
        <f t="shared" si="43"/>
        <v>5</v>
      </c>
      <c r="AE22" s="145">
        <f t="shared" si="43"/>
        <v>7</v>
      </c>
      <c r="AF22" s="145">
        <f t="shared" si="43"/>
        <v>9</v>
      </c>
      <c r="AG22" s="145">
        <f t="shared" si="43"/>
        <v>5</v>
      </c>
      <c r="AH22" s="145">
        <f t="shared" si="43"/>
        <v>0</v>
      </c>
      <c r="AI22" s="145">
        <f t="shared" si="43"/>
        <v>7</v>
      </c>
      <c r="AJ22" s="145">
        <f t="shared" si="43"/>
        <v>5</v>
      </c>
      <c r="AK22" s="145">
        <f t="shared" ref="AK22:BP22" si="44">SUM(AK6:AK21)</f>
        <v>8</v>
      </c>
      <c r="AL22" s="145">
        <f t="shared" si="44"/>
        <v>8</v>
      </c>
      <c r="AM22" s="145">
        <f t="shared" si="44"/>
        <v>7</v>
      </c>
      <c r="AN22" s="145">
        <f t="shared" si="44"/>
        <v>10</v>
      </c>
      <c r="AO22" s="145">
        <f t="shared" si="44"/>
        <v>4</v>
      </c>
      <c r="AP22" s="145">
        <f t="shared" si="44"/>
        <v>9</v>
      </c>
      <c r="AQ22" s="145">
        <f t="shared" si="44"/>
        <v>9</v>
      </c>
      <c r="AR22" s="145">
        <f t="shared" si="44"/>
        <v>6</v>
      </c>
      <c r="AS22" s="145">
        <f t="shared" si="44"/>
        <v>6</v>
      </c>
      <c r="AT22" s="145">
        <f t="shared" si="44"/>
        <v>7</v>
      </c>
      <c r="AU22" s="145">
        <f t="shared" si="44"/>
        <v>9</v>
      </c>
      <c r="AV22" s="145">
        <f t="shared" si="44"/>
        <v>0</v>
      </c>
      <c r="AW22" s="145">
        <f t="shared" si="44"/>
        <v>8</v>
      </c>
      <c r="AX22" s="145">
        <f t="shared" si="44"/>
        <v>8</v>
      </c>
      <c r="AY22" s="145">
        <f t="shared" si="44"/>
        <v>9</v>
      </c>
      <c r="AZ22" s="145">
        <f t="shared" si="44"/>
        <v>10</v>
      </c>
      <c r="BA22" s="145">
        <f t="shared" si="44"/>
        <v>6</v>
      </c>
      <c r="BB22" s="145">
        <f t="shared" si="44"/>
        <v>11</v>
      </c>
      <c r="BC22" s="145">
        <f t="shared" si="44"/>
        <v>11</v>
      </c>
      <c r="BD22" s="145">
        <f t="shared" si="44"/>
        <v>10</v>
      </c>
      <c r="BE22" s="145">
        <f t="shared" si="44"/>
        <v>10</v>
      </c>
      <c r="BF22" s="145">
        <f t="shared" si="44"/>
        <v>8</v>
      </c>
      <c r="BG22" s="145">
        <f t="shared" si="44"/>
        <v>12</v>
      </c>
      <c r="BH22" s="145">
        <f t="shared" si="44"/>
        <v>8</v>
      </c>
      <c r="BI22" s="145">
        <f t="shared" si="44"/>
        <v>12</v>
      </c>
      <c r="BJ22" s="145">
        <f t="shared" si="44"/>
        <v>13</v>
      </c>
      <c r="BK22" s="145">
        <f t="shared" si="44"/>
        <v>13</v>
      </c>
      <c r="BL22" s="145">
        <f t="shared" si="44"/>
        <v>13</v>
      </c>
      <c r="BM22" s="145">
        <f t="shared" si="44"/>
        <v>12</v>
      </c>
      <c r="BN22" s="146"/>
      <c r="BO22" s="145">
        <f t="shared" ref="BO22:CH22" si="45">SUM(BO6:BO21)</f>
        <v>10</v>
      </c>
      <c r="BP22" s="145">
        <f t="shared" si="45"/>
        <v>13</v>
      </c>
      <c r="BQ22" s="145">
        <f t="shared" si="45"/>
        <v>0</v>
      </c>
      <c r="BR22" s="145">
        <f t="shared" si="45"/>
        <v>13</v>
      </c>
      <c r="BS22" s="145">
        <f t="shared" si="45"/>
        <v>13</v>
      </c>
      <c r="BT22" s="145">
        <f t="shared" si="45"/>
        <v>13</v>
      </c>
      <c r="BU22" s="145">
        <f t="shared" si="45"/>
        <v>13</v>
      </c>
      <c r="BV22" s="145">
        <f t="shared" si="45"/>
        <v>12</v>
      </c>
      <c r="BW22" s="145">
        <f t="shared" si="45"/>
        <v>14</v>
      </c>
      <c r="BX22" s="145">
        <f t="shared" si="45"/>
        <v>14</v>
      </c>
      <c r="BY22" s="145">
        <f t="shared" si="45"/>
        <v>14</v>
      </c>
      <c r="BZ22" s="145">
        <f t="shared" si="45"/>
        <v>10</v>
      </c>
      <c r="CA22" s="145">
        <f t="shared" si="45"/>
        <v>13</v>
      </c>
      <c r="CB22" s="145">
        <f t="shared" si="45"/>
        <v>4</v>
      </c>
      <c r="CC22" s="145">
        <f t="shared" si="45"/>
        <v>8</v>
      </c>
      <c r="CD22" s="145">
        <f t="shared" si="45"/>
        <v>11</v>
      </c>
      <c r="CE22" s="145">
        <f t="shared" si="45"/>
        <v>12</v>
      </c>
      <c r="CF22" s="145">
        <f t="shared" si="45"/>
        <v>12</v>
      </c>
      <c r="CG22" s="145">
        <f t="shared" si="45"/>
        <v>14</v>
      </c>
      <c r="CH22" s="145">
        <f t="shared" si="45"/>
        <v>14</v>
      </c>
      <c r="CI22" s="145">
        <v>14</v>
      </c>
      <c r="CJ22" s="146"/>
      <c r="CK22" s="145">
        <v>15</v>
      </c>
      <c r="CL22" s="146"/>
      <c r="CM22" s="145"/>
      <c r="CN22" s="146"/>
      <c r="CO22" s="145">
        <v>15</v>
      </c>
      <c r="CP22" s="146">
        <v>14</v>
      </c>
      <c r="CQ22" s="145">
        <v>13</v>
      </c>
      <c r="CR22" s="146">
        <v>10</v>
      </c>
      <c r="CS22" s="145">
        <v>9</v>
      </c>
      <c r="CT22" s="146">
        <v>11</v>
      </c>
      <c r="CU22" s="145">
        <v>12</v>
      </c>
      <c r="CV22" s="146">
        <v>4</v>
      </c>
      <c r="CW22" s="145">
        <v>10</v>
      </c>
      <c r="CX22" s="146">
        <v>10</v>
      </c>
      <c r="CY22" s="145">
        <v>10</v>
      </c>
      <c r="CZ22" s="146">
        <v>8</v>
      </c>
      <c r="DA22" s="145">
        <v>10</v>
      </c>
      <c r="DB22" s="146">
        <v>12</v>
      </c>
      <c r="DC22" s="145">
        <v>12</v>
      </c>
      <c r="DD22" s="146">
        <v>12</v>
      </c>
      <c r="DE22" s="145">
        <v>10</v>
      </c>
      <c r="DF22" s="146">
        <v>11</v>
      </c>
      <c r="DG22" s="145">
        <v>11</v>
      </c>
      <c r="DH22" s="146">
        <v>8</v>
      </c>
      <c r="DI22" s="145">
        <v>7</v>
      </c>
      <c r="DJ22" s="146">
        <v>8</v>
      </c>
      <c r="DK22" s="145">
        <v>4</v>
      </c>
      <c r="DL22" s="146">
        <v>4</v>
      </c>
      <c r="DM22" s="145">
        <v>4</v>
      </c>
      <c r="DN22" s="146">
        <v>6</v>
      </c>
      <c r="DO22" s="145">
        <v>4</v>
      </c>
      <c r="DP22" s="146">
        <v>4</v>
      </c>
      <c r="DQ22" s="145">
        <v>4</v>
      </c>
      <c r="DR22" s="146">
        <v>7</v>
      </c>
      <c r="DS22" s="145">
        <v>7</v>
      </c>
      <c r="DT22" s="146">
        <v>10</v>
      </c>
      <c r="DU22" s="145">
        <v>12</v>
      </c>
      <c r="DV22" s="146">
        <v>10</v>
      </c>
      <c r="DW22" s="145">
        <v>10</v>
      </c>
      <c r="DX22" s="146"/>
      <c r="DY22" s="145">
        <v>7</v>
      </c>
      <c r="DZ22" s="146">
        <v>10</v>
      </c>
      <c r="EA22" s="145">
        <v>9</v>
      </c>
      <c r="EB22" s="146">
        <v>10</v>
      </c>
      <c r="EC22" s="145">
        <v>6</v>
      </c>
      <c r="ED22" s="146">
        <v>6</v>
      </c>
      <c r="EE22" s="145">
        <v>7</v>
      </c>
      <c r="EF22" s="146">
        <v>6</v>
      </c>
      <c r="EG22" s="145">
        <v>6</v>
      </c>
      <c r="EH22" s="146">
        <v>6</v>
      </c>
      <c r="EI22" s="145">
        <v>5</v>
      </c>
      <c r="EJ22" s="146">
        <v>7</v>
      </c>
      <c r="EK22" s="145">
        <v>6</v>
      </c>
      <c r="EL22" s="146">
        <v>7</v>
      </c>
      <c r="EM22" s="145">
        <v>2</v>
      </c>
      <c r="EN22" s="146">
        <v>2</v>
      </c>
      <c r="EO22" s="145">
        <v>0</v>
      </c>
      <c r="EP22" s="146">
        <v>2</v>
      </c>
      <c r="EQ22" s="145">
        <v>7</v>
      </c>
      <c r="ER22" s="146">
        <v>3</v>
      </c>
      <c r="ES22" s="145">
        <v>6</v>
      </c>
      <c r="ET22" s="146"/>
    </row>
  </sheetData>
  <mergeCells count="10">
    <mergeCell ref="EO7:EO21"/>
    <mergeCell ref="B22:C22"/>
    <mergeCell ref="B2:CR2"/>
    <mergeCell ref="B3:CR3"/>
    <mergeCell ref="AI4:BM4"/>
    <mergeCell ref="E4:AH4"/>
    <mergeCell ref="B4:B5"/>
    <mergeCell ref="C4:C5"/>
    <mergeCell ref="D4:D5"/>
    <mergeCell ref="BN4:CR4"/>
  </mergeCells>
  <pageMargins left="0.23622047244094499" right="0.23622047244094499" top="0.74803149606299202" bottom="0.74803149606299202" header="0.31496062992126" footer="0.31496062992126"/>
  <pageSetup paperSize="9" scale="10" orientation="landscape" r:id="rId1"/>
  <ignoredErrors>
    <ignoredError sqref="E22:BM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98"/>
  <sheetViews>
    <sheetView view="pageBreakPreview" topLeftCell="A70" zoomScale="115" zoomScaleNormal="85" workbookViewId="0">
      <selection activeCell="H12" sqref="H12"/>
    </sheetView>
  </sheetViews>
  <sheetFormatPr defaultColWidth="9.140625" defaultRowHeight="12.75"/>
  <cols>
    <col min="1" max="1" width="3" style="3" customWidth="1"/>
    <col min="2" max="2" width="6.42578125" style="3" customWidth="1"/>
    <col min="3" max="3" width="17.28515625" style="4" customWidth="1"/>
    <col min="4" max="4" width="12.140625" style="3" customWidth="1"/>
    <col min="5" max="5" width="16.140625" style="3" customWidth="1"/>
    <col min="6" max="6" width="11.140625" style="3" customWidth="1"/>
    <col min="7" max="7" width="8.5703125" style="5" customWidth="1"/>
    <col min="8" max="8" width="44.7109375" style="4" customWidth="1"/>
    <col min="9" max="9" width="9.140625" style="3"/>
    <col min="10" max="10" width="12.42578125" style="3" customWidth="1"/>
    <col min="11" max="18" width="9.140625" style="3"/>
    <col min="19" max="19" width="15.28515625" style="13" customWidth="1"/>
    <col min="20" max="16384" width="9.140625" style="3"/>
  </cols>
  <sheetData>
    <row r="2" spans="2:19" ht="18.75" customHeight="1">
      <c r="B2" s="196" t="s">
        <v>58</v>
      </c>
      <c r="C2" s="197"/>
      <c r="D2" s="197"/>
      <c r="E2" s="197"/>
      <c r="F2" s="197"/>
      <c r="G2" s="197"/>
      <c r="H2" s="198"/>
    </row>
    <row r="3" spans="2:19" ht="18.75" customHeight="1">
      <c r="B3" s="199" t="s">
        <v>0</v>
      </c>
      <c r="C3" s="200"/>
      <c r="D3" s="200"/>
      <c r="E3" s="200"/>
      <c r="F3" s="200"/>
      <c r="G3" s="200"/>
      <c r="H3" s="201"/>
    </row>
    <row r="4" spans="2:19" s="1" customFormat="1" ht="47.25" customHeight="1">
      <c r="B4" s="114" t="s">
        <v>1</v>
      </c>
      <c r="C4" s="115" t="s">
        <v>2</v>
      </c>
      <c r="D4" s="115" t="s">
        <v>3</v>
      </c>
      <c r="E4" s="115" t="s">
        <v>4</v>
      </c>
      <c r="F4" s="115" t="s">
        <v>5</v>
      </c>
      <c r="G4" s="116" t="s">
        <v>6</v>
      </c>
      <c r="H4" s="117" t="s">
        <v>7</v>
      </c>
      <c r="S4" s="21"/>
    </row>
    <row r="5" spans="2:19" s="2" customFormat="1" ht="24" customHeight="1" thickBot="1">
      <c r="B5" s="79" t="s">
        <v>8</v>
      </c>
      <c r="C5" s="202" t="s">
        <v>9</v>
      </c>
      <c r="D5" s="202"/>
      <c r="E5" s="202"/>
      <c r="F5" s="202"/>
      <c r="G5" s="202"/>
      <c r="H5" s="203"/>
      <c r="S5" s="22"/>
    </row>
    <row r="6" spans="2:19" ht="18.75" customHeight="1">
      <c r="B6" s="208">
        <v>1</v>
      </c>
      <c r="C6" s="80" t="s">
        <v>10</v>
      </c>
      <c r="D6" s="81">
        <v>45954</v>
      </c>
      <c r="E6" s="81">
        <f>D6+3</f>
        <v>45957</v>
      </c>
      <c r="F6" s="81">
        <v>45960</v>
      </c>
      <c r="G6" s="82">
        <f>F6-E6</f>
        <v>3</v>
      </c>
      <c r="H6" s="77"/>
      <c r="S6" s="22"/>
    </row>
    <row r="7" spans="2:19" ht="18.75" customHeight="1">
      <c r="B7" s="209"/>
      <c r="C7" s="28" t="s">
        <v>11</v>
      </c>
      <c r="D7" s="7">
        <v>45987</v>
      </c>
      <c r="E7" s="11">
        <v>45959</v>
      </c>
      <c r="F7" s="7">
        <v>45973</v>
      </c>
      <c r="G7" s="83">
        <f t="shared" ref="G7:G8" si="0">F7-E7</f>
        <v>14</v>
      </c>
      <c r="H7" s="78"/>
      <c r="S7" s="22"/>
    </row>
    <row r="8" spans="2:19" ht="18.75" customHeight="1" thickBot="1">
      <c r="B8" s="210"/>
      <c r="C8" s="84" t="s">
        <v>12</v>
      </c>
      <c r="D8" s="85">
        <v>45966</v>
      </c>
      <c r="E8" s="86">
        <f t="shared" ref="E8:E9" si="1">D8+3</f>
        <v>45969</v>
      </c>
      <c r="F8" s="85">
        <v>45974</v>
      </c>
      <c r="G8" s="87">
        <f t="shared" si="0"/>
        <v>5</v>
      </c>
      <c r="H8" s="78"/>
      <c r="S8" s="22"/>
    </row>
    <row r="9" spans="2:19" ht="18.75" customHeight="1">
      <c r="B9" s="208">
        <v>2</v>
      </c>
      <c r="C9" s="88" t="s">
        <v>59</v>
      </c>
      <c r="D9" s="81">
        <v>45975</v>
      </c>
      <c r="E9" s="81">
        <f t="shared" si="1"/>
        <v>45978</v>
      </c>
      <c r="F9" s="211">
        <v>45997</v>
      </c>
      <c r="G9" s="214">
        <f t="shared" ref="G9:G14" si="2">F9-E9</f>
        <v>19</v>
      </c>
      <c r="H9" s="78"/>
      <c r="S9" s="23"/>
    </row>
    <row r="10" spans="2:19" ht="18.75" customHeight="1">
      <c r="B10" s="209"/>
      <c r="C10" s="28" t="s">
        <v>60</v>
      </c>
      <c r="D10" s="11">
        <v>45980</v>
      </c>
      <c r="E10" s="7">
        <f t="shared" ref="E10:E25" si="3">D10+3</f>
        <v>45983</v>
      </c>
      <c r="F10" s="212"/>
      <c r="G10" s="215"/>
      <c r="H10" s="78"/>
      <c r="S10" s="23"/>
    </row>
    <row r="11" spans="2:19" ht="18.75" customHeight="1" thickBot="1">
      <c r="B11" s="210"/>
      <c r="C11" s="84" t="s">
        <v>61</v>
      </c>
      <c r="D11" s="86">
        <v>45984</v>
      </c>
      <c r="E11" s="85">
        <f t="shared" si="3"/>
        <v>45987</v>
      </c>
      <c r="F11" s="213"/>
      <c r="G11" s="216"/>
      <c r="H11" s="78"/>
      <c r="S11" s="23"/>
    </row>
    <row r="12" spans="2:19" ht="18.75" customHeight="1">
      <c r="B12" s="208">
        <v>3</v>
      </c>
      <c r="C12" s="88" t="s">
        <v>62</v>
      </c>
      <c r="D12" s="81">
        <v>45986</v>
      </c>
      <c r="E12" s="90">
        <f t="shared" si="3"/>
        <v>45989</v>
      </c>
      <c r="F12" s="90">
        <v>46002</v>
      </c>
      <c r="G12" s="82">
        <f t="shared" si="2"/>
        <v>13</v>
      </c>
      <c r="H12" s="89"/>
      <c r="S12" s="23"/>
    </row>
    <row r="13" spans="2:19" ht="18.75" customHeight="1">
      <c r="B13" s="209"/>
      <c r="C13" s="28" t="s">
        <v>63</v>
      </c>
      <c r="D13" s="11">
        <v>45995</v>
      </c>
      <c r="E13" s="7">
        <f t="shared" si="3"/>
        <v>45998</v>
      </c>
      <c r="F13" s="7">
        <v>46002</v>
      </c>
      <c r="G13" s="83">
        <f t="shared" si="2"/>
        <v>4</v>
      </c>
      <c r="H13" s="78"/>
      <c r="S13" s="23"/>
    </row>
    <row r="14" spans="2:19" ht="18.75" customHeight="1" thickBot="1">
      <c r="B14" s="210"/>
      <c r="C14" s="84" t="s">
        <v>64</v>
      </c>
      <c r="D14" s="86">
        <v>45996</v>
      </c>
      <c r="E14" s="85">
        <f t="shared" si="3"/>
        <v>45999</v>
      </c>
      <c r="F14" s="85">
        <v>46002</v>
      </c>
      <c r="G14" s="87">
        <f t="shared" si="2"/>
        <v>3</v>
      </c>
      <c r="H14" s="78"/>
      <c r="S14" s="23"/>
    </row>
    <row r="15" spans="2:19" ht="18.75" customHeight="1">
      <c r="B15" s="208">
        <v>4</v>
      </c>
      <c r="C15" s="88" t="s">
        <v>65</v>
      </c>
      <c r="D15" s="81">
        <v>45995</v>
      </c>
      <c r="E15" s="90">
        <f t="shared" si="3"/>
        <v>45998</v>
      </c>
      <c r="F15" s="217" t="s">
        <v>39</v>
      </c>
      <c r="G15" s="91"/>
      <c r="H15" s="78"/>
      <c r="S15" s="23"/>
    </row>
    <row r="16" spans="2:19" ht="18.75" customHeight="1">
      <c r="B16" s="209"/>
      <c r="C16" s="28" t="s">
        <v>79</v>
      </c>
      <c r="D16" s="11">
        <v>46027</v>
      </c>
      <c r="E16" s="7">
        <f t="shared" si="3"/>
        <v>46030</v>
      </c>
      <c r="F16" s="218"/>
      <c r="G16" s="92"/>
      <c r="H16" s="78"/>
      <c r="S16" s="23"/>
    </row>
    <row r="17" spans="2:19" ht="18.75" customHeight="1" thickBot="1">
      <c r="B17" s="210"/>
      <c r="C17" s="84" t="s">
        <v>80</v>
      </c>
      <c r="D17" s="86">
        <v>46026</v>
      </c>
      <c r="E17" s="85">
        <f t="shared" si="3"/>
        <v>46029</v>
      </c>
      <c r="F17" s="219"/>
      <c r="G17" s="93"/>
      <c r="H17" s="78"/>
      <c r="S17" s="23"/>
    </row>
    <row r="18" spans="2:19" ht="18.75" customHeight="1">
      <c r="B18" s="208">
        <v>5</v>
      </c>
      <c r="C18" s="88" t="s">
        <v>81</v>
      </c>
      <c r="D18" s="81">
        <v>46011</v>
      </c>
      <c r="E18" s="90">
        <f t="shared" si="3"/>
        <v>46014</v>
      </c>
      <c r="F18" s="217" t="s">
        <v>39</v>
      </c>
      <c r="G18" s="91"/>
      <c r="H18" s="78"/>
      <c r="S18" s="23"/>
    </row>
    <row r="19" spans="2:19" ht="18.75" customHeight="1">
      <c r="B19" s="209"/>
      <c r="C19" s="28" t="s">
        <v>77</v>
      </c>
      <c r="D19" s="11">
        <v>46003</v>
      </c>
      <c r="E19" s="7">
        <f t="shared" si="3"/>
        <v>46006</v>
      </c>
      <c r="F19" s="218"/>
      <c r="G19" s="92"/>
      <c r="H19" s="78"/>
      <c r="S19" s="23"/>
    </row>
    <row r="20" spans="2:19" ht="18.75" customHeight="1" thickBot="1">
      <c r="B20" s="210"/>
      <c r="C20" s="84" t="s">
        <v>78</v>
      </c>
      <c r="D20" s="86">
        <v>46007</v>
      </c>
      <c r="E20" s="85">
        <f t="shared" si="3"/>
        <v>46010</v>
      </c>
      <c r="F20" s="219"/>
      <c r="G20" s="93"/>
      <c r="H20" s="78"/>
      <c r="S20" s="23"/>
    </row>
    <row r="21" spans="2:19" s="123" customFormat="1" ht="18.75" customHeight="1">
      <c r="B21" s="208">
        <v>6</v>
      </c>
      <c r="C21" s="88" t="s">
        <v>140</v>
      </c>
      <c r="D21" s="81">
        <v>46037</v>
      </c>
      <c r="E21" s="90">
        <f t="shared" si="3"/>
        <v>46040</v>
      </c>
      <c r="F21" s="90"/>
      <c r="G21" s="91"/>
      <c r="H21" s="94"/>
      <c r="S21" s="23"/>
    </row>
    <row r="22" spans="2:19" s="123" customFormat="1" ht="18.75" customHeight="1">
      <c r="B22" s="209"/>
      <c r="C22" s="28" t="s">
        <v>142</v>
      </c>
      <c r="D22" s="11">
        <v>46041</v>
      </c>
      <c r="E22" s="7">
        <f t="shared" si="3"/>
        <v>46044</v>
      </c>
      <c r="F22" s="11"/>
      <c r="G22" s="92"/>
      <c r="H22" s="94"/>
      <c r="S22" s="23"/>
    </row>
    <row r="23" spans="2:19" s="123" customFormat="1" ht="18.75" customHeight="1" thickBot="1">
      <c r="B23" s="210"/>
      <c r="C23" s="84" t="s">
        <v>141</v>
      </c>
      <c r="D23" s="86">
        <v>46044</v>
      </c>
      <c r="E23" s="85">
        <f t="shared" si="3"/>
        <v>46047</v>
      </c>
      <c r="F23" s="86"/>
      <c r="G23" s="93"/>
      <c r="H23" s="94"/>
      <c r="S23" s="23"/>
    </row>
    <row r="24" spans="2:19" s="123" customFormat="1" ht="18.75" customHeight="1">
      <c r="B24" s="208">
        <v>7</v>
      </c>
      <c r="C24" s="88">
        <v>1001</v>
      </c>
      <c r="D24" s="11">
        <v>46015</v>
      </c>
      <c r="E24" s="90">
        <f t="shared" si="3"/>
        <v>46018</v>
      </c>
      <c r="F24" s="81"/>
      <c r="G24" s="91"/>
      <c r="H24" s="94"/>
      <c r="S24" s="23"/>
    </row>
    <row r="25" spans="2:19" s="123" customFormat="1" ht="18.75" customHeight="1">
      <c r="B25" s="209"/>
      <c r="C25" s="28">
        <v>1002</v>
      </c>
      <c r="D25" s="11">
        <v>46037</v>
      </c>
      <c r="E25" s="7">
        <f t="shared" si="3"/>
        <v>46040</v>
      </c>
      <c r="F25" s="11"/>
      <c r="G25" s="92"/>
      <c r="H25" s="94"/>
      <c r="S25" s="23"/>
    </row>
    <row r="26" spans="2:19" s="30" customFormat="1" ht="18.75" customHeight="1" thickBot="1">
      <c r="B26" s="210"/>
      <c r="C26" s="84">
        <v>1003</v>
      </c>
      <c r="D26" s="86"/>
      <c r="E26" s="124"/>
      <c r="F26" s="85"/>
      <c r="G26" s="93"/>
      <c r="H26" s="94"/>
      <c r="S26" s="23"/>
    </row>
    <row r="27" spans="2:19" s="2" customFormat="1" ht="18.75" customHeight="1" thickBot="1">
      <c r="B27" s="95" t="s">
        <v>13</v>
      </c>
      <c r="C27" s="204" t="s">
        <v>14</v>
      </c>
      <c r="D27" s="204"/>
      <c r="E27" s="204"/>
      <c r="F27" s="204"/>
      <c r="G27" s="204"/>
      <c r="H27" s="205"/>
      <c r="S27" s="12"/>
    </row>
    <row r="28" spans="2:19" ht="18.75" customHeight="1">
      <c r="B28" s="96">
        <v>1</v>
      </c>
      <c r="C28" s="80" t="s">
        <v>66</v>
      </c>
      <c r="D28" s="81">
        <v>45981</v>
      </c>
      <c r="E28" s="81">
        <f>D28+2</f>
        <v>45983</v>
      </c>
      <c r="F28" s="81" t="s">
        <v>39</v>
      </c>
      <c r="G28" s="97"/>
      <c r="H28" s="98"/>
    </row>
    <row r="29" spans="2:19" ht="18.75" customHeight="1">
      <c r="B29" s="6">
        <v>2</v>
      </c>
      <c r="C29" s="27" t="s">
        <v>67</v>
      </c>
      <c r="D29" s="11"/>
      <c r="E29" s="7">
        <f>E28+2</f>
        <v>45985</v>
      </c>
      <c r="F29" s="11" t="s">
        <v>39</v>
      </c>
      <c r="G29" s="8"/>
      <c r="H29" s="9"/>
    </row>
    <row r="30" spans="2:19" s="30" customFormat="1" ht="18.75" customHeight="1">
      <c r="B30" s="6">
        <v>3</v>
      </c>
      <c r="C30" s="27" t="s">
        <v>104</v>
      </c>
      <c r="D30" s="73"/>
      <c r="E30" s="74"/>
      <c r="F30" s="11" t="s">
        <v>39</v>
      </c>
      <c r="G30" s="75"/>
      <c r="H30" s="76"/>
      <c r="S30" s="13"/>
    </row>
    <row r="31" spans="2:19" s="30" customFormat="1" ht="18.75" customHeight="1">
      <c r="B31" s="6">
        <v>4</v>
      </c>
      <c r="C31" s="27" t="s">
        <v>105</v>
      </c>
      <c r="D31" s="73"/>
      <c r="E31" s="74"/>
      <c r="F31" s="73"/>
      <c r="G31" s="75"/>
      <c r="H31" s="76"/>
      <c r="S31" s="13"/>
    </row>
    <row r="32" spans="2:19" s="30" customFormat="1" ht="18.75" customHeight="1" thickBot="1">
      <c r="B32" s="99">
        <v>5</v>
      </c>
      <c r="C32" s="100" t="s">
        <v>106</v>
      </c>
      <c r="D32" s="101"/>
      <c r="E32" s="102"/>
      <c r="F32" s="101"/>
      <c r="G32" s="103"/>
      <c r="H32" s="104"/>
      <c r="S32" s="13"/>
    </row>
    <row r="33" spans="2:19" s="2" customFormat="1" ht="18.75" customHeight="1" thickBot="1">
      <c r="B33" s="95" t="s">
        <v>16</v>
      </c>
      <c r="C33" s="206" t="s">
        <v>68</v>
      </c>
      <c r="D33" s="206"/>
      <c r="E33" s="206"/>
      <c r="F33" s="206"/>
      <c r="G33" s="206"/>
      <c r="H33" s="207"/>
      <c r="S33" s="12"/>
    </row>
    <row r="34" spans="2:19" ht="18.75" customHeight="1">
      <c r="B34" s="96">
        <v>1</v>
      </c>
      <c r="C34" s="88" t="s">
        <v>18</v>
      </c>
      <c r="D34" s="90">
        <v>45960</v>
      </c>
      <c r="E34" s="90">
        <f>D34+2</f>
        <v>45962</v>
      </c>
      <c r="F34" s="90">
        <v>45973</v>
      </c>
      <c r="G34" s="105">
        <f>F34-E34</f>
        <v>11</v>
      </c>
      <c r="H34" s="106"/>
      <c r="J34" s="221"/>
    </row>
    <row r="35" spans="2:19" ht="18.75" customHeight="1">
      <c r="B35" s="6">
        <v>2</v>
      </c>
      <c r="C35" s="28" t="s">
        <v>19</v>
      </c>
      <c r="D35" s="7">
        <v>45960</v>
      </c>
      <c r="E35" s="7">
        <f t="shared" ref="E35:E40" si="4">E34+2</f>
        <v>45964</v>
      </c>
      <c r="F35" s="7">
        <v>45974</v>
      </c>
      <c r="G35" s="8">
        <f>F35-E35</f>
        <v>10</v>
      </c>
      <c r="H35" s="9"/>
      <c r="J35" s="221"/>
    </row>
    <row r="36" spans="2:19" ht="18.75" customHeight="1">
      <c r="B36" s="6">
        <v>3</v>
      </c>
      <c r="C36" s="28" t="s">
        <v>20</v>
      </c>
      <c r="D36" s="7">
        <v>45960</v>
      </c>
      <c r="E36" s="7">
        <f t="shared" si="4"/>
        <v>45966</v>
      </c>
      <c r="F36" s="7">
        <v>45983</v>
      </c>
      <c r="G36" s="8">
        <f>F36-E36</f>
        <v>17</v>
      </c>
      <c r="H36" s="9"/>
      <c r="J36" s="221"/>
    </row>
    <row r="37" spans="2:19" ht="18.75" customHeight="1">
      <c r="B37" s="6">
        <v>4</v>
      </c>
      <c r="C37" s="28" t="s">
        <v>21</v>
      </c>
      <c r="D37" s="7">
        <v>45960</v>
      </c>
      <c r="E37" s="7">
        <f t="shared" si="4"/>
        <v>45968</v>
      </c>
      <c r="F37" s="7">
        <v>45989</v>
      </c>
      <c r="G37" s="8">
        <f t="shared" ref="G37:G54" si="5">F37-E37</f>
        <v>21</v>
      </c>
      <c r="H37" s="9"/>
      <c r="J37" s="221"/>
    </row>
    <row r="38" spans="2:19" ht="15" customHeight="1">
      <c r="B38" s="6">
        <v>5</v>
      </c>
      <c r="C38" s="28" t="s">
        <v>23</v>
      </c>
      <c r="D38" s="7">
        <v>45960</v>
      </c>
      <c r="E38" s="7">
        <f t="shared" si="4"/>
        <v>45970</v>
      </c>
      <c r="F38" s="7">
        <v>45989</v>
      </c>
      <c r="G38" s="8">
        <f t="shared" si="5"/>
        <v>19</v>
      </c>
      <c r="H38" s="9"/>
      <c r="J38" s="221"/>
    </row>
    <row r="39" spans="2:19" ht="18.75" customHeight="1">
      <c r="B39" s="6">
        <v>6</v>
      </c>
      <c r="C39" s="27" t="s">
        <v>24</v>
      </c>
      <c r="D39" s="11">
        <v>45960</v>
      </c>
      <c r="E39" s="11">
        <f t="shared" si="4"/>
        <v>45972</v>
      </c>
      <c r="F39" s="7">
        <v>46004</v>
      </c>
      <c r="G39" s="8">
        <f t="shared" si="5"/>
        <v>32</v>
      </c>
      <c r="H39" s="9"/>
      <c r="J39" s="221"/>
    </row>
    <row r="40" spans="2:19" ht="18.75" customHeight="1">
      <c r="B40" s="6">
        <v>7</v>
      </c>
      <c r="C40" s="27" t="s">
        <v>25</v>
      </c>
      <c r="D40" s="11">
        <v>45960</v>
      </c>
      <c r="E40" s="11">
        <f t="shared" si="4"/>
        <v>45974</v>
      </c>
      <c r="F40" s="71">
        <v>46004</v>
      </c>
      <c r="G40" s="8">
        <f t="shared" si="5"/>
        <v>30</v>
      </c>
      <c r="H40" s="70"/>
      <c r="J40" s="221"/>
    </row>
    <row r="41" spans="2:19" ht="18.75" customHeight="1">
      <c r="B41" s="6">
        <v>8</v>
      </c>
      <c r="C41" s="27" t="s">
        <v>69</v>
      </c>
      <c r="D41" s="11">
        <v>45960</v>
      </c>
      <c r="E41" s="11">
        <f>E40+2</f>
        <v>45976</v>
      </c>
      <c r="F41" s="71">
        <v>46009</v>
      </c>
      <c r="G41" s="8">
        <f t="shared" si="5"/>
        <v>33</v>
      </c>
      <c r="H41" s="26"/>
    </row>
    <row r="42" spans="2:19" s="30" customFormat="1" ht="18.75" customHeight="1">
      <c r="B42" s="6">
        <v>9</v>
      </c>
      <c r="C42" s="27" t="s">
        <v>95</v>
      </c>
      <c r="D42" s="11">
        <v>45960</v>
      </c>
      <c r="E42" s="11">
        <f t="shared" ref="E42:E63" si="6">E41+2</f>
        <v>45978</v>
      </c>
      <c r="F42" s="71">
        <v>46018</v>
      </c>
      <c r="G42" s="8">
        <f t="shared" si="5"/>
        <v>40</v>
      </c>
      <c r="H42" s="29"/>
      <c r="S42" s="13"/>
    </row>
    <row r="43" spans="2:19" s="30" customFormat="1" ht="18.75" customHeight="1">
      <c r="B43" s="6">
        <v>10</v>
      </c>
      <c r="C43" s="27" t="s">
        <v>94</v>
      </c>
      <c r="D43" s="11">
        <v>45960</v>
      </c>
      <c r="E43" s="11">
        <f t="shared" si="6"/>
        <v>45980</v>
      </c>
      <c r="F43" s="71">
        <v>46015</v>
      </c>
      <c r="G43" s="8">
        <f t="shared" si="5"/>
        <v>35</v>
      </c>
      <c r="H43" s="29"/>
      <c r="S43" s="13"/>
    </row>
    <row r="44" spans="2:19" s="30" customFormat="1" ht="18.75" customHeight="1">
      <c r="B44" s="6">
        <v>11</v>
      </c>
      <c r="C44" s="27" t="s">
        <v>93</v>
      </c>
      <c r="D44" s="11">
        <v>45960</v>
      </c>
      <c r="E44" s="11">
        <f t="shared" si="6"/>
        <v>45982</v>
      </c>
      <c r="F44" s="71">
        <v>46015</v>
      </c>
      <c r="G44" s="8">
        <f t="shared" si="5"/>
        <v>33</v>
      </c>
      <c r="H44" s="29"/>
      <c r="S44" s="13"/>
    </row>
    <row r="45" spans="2:19" s="30" customFormat="1" ht="18.75" customHeight="1">
      <c r="B45" s="6">
        <v>12</v>
      </c>
      <c r="C45" s="27" t="s">
        <v>92</v>
      </c>
      <c r="D45" s="11">
        <v>45960</v>
      </c>
      <c r="E45" s="11">
        <f t="shared" si="6"/>
        <v>45984</v>
      </c>
      <c r="F45" s="71">
        <v>46018</v>
      </c>
      <c r="G45" s="8">
        <f t="shared" si="5"/>
        <v>34</v>
      </c>
      <c r="H45" s="29"/>
      <c r="S45" s="13"/>
    </row>
    <row r="46" spans="2:19" s="30" customFormat="1" ht="18.75" customHeight="1">
      <c r="B46" s="6">
        <v>13</v>
      </c>
      <c r="C46" s="27" t="s">
        <v>91</v>
      </c>
      <c r="D46" s="11">
        <v>45960</v>
      </c>
      <c r="E46" s="11">
        <f t="shared" si="6"/>
        <v>45986</v>
      </c>
      <c r="F46" s="71">
        <v>46018</v>
      </c>
      <c r="G46" s="8">
        <f t="shared" si="5"/>
        <v>32</v>
      </c>
      <c r="H46" s="29"/>
      <c r="S46" s="13"/>
    </row>
    <row r="47" spans="2:19" s="30" customFormat="1" ht="18.75" customHeight="1">
      <c r="B47" s="6">
        <v>14</v>
      </c>
      <c r="C47" s="27" t="s">
        <v>90</v>
      </c>
      <c r="D47" s="11">
        <v>45960</v>
      </c>
      <c r="E47" s="11">
        <f t="shared" si="6"/>
        <v>45988</v>
      </c>
      <c r="F47" s="10">
        <v>46027</v>
      </c>
      <c r="G47" s="8">
        <f t="shared" si="5"/>
        <v>39</v>
      </c>
      <c r="H47" s="29"/>
      <c r="S47" s="13"/>
    </row>
    <row r="48" spans="2:19" s="30" customFormat="1" ht="18.75" customHeight="1">
      <c r="B48" s="6">
        <v>15</v>
      </c>
      <c r="C48" s="27" t="s">
        <v>89</v>
      </c>
      <c r="D48" s="11">
        <v>45960</v>
      </c>
      <c r="E48" s="11">
        <f t="shared" si="6"/>
        <v>45990</v>
      </c>
      <c r="F48" s="10">
        <v>46029</v>
      </c>
      <c r="G48" s="8">
        <f t="shared" si="5"/>
        <v>39</v>
      </c>
      <c r="H48" s="29"/>
      <c r="S48" s="13"/>
    </row>
    <row r="49" spans="2:19" s="30" customFormat="1" ht="18.75" customHeight="1">
      <c r="B49" s="6">
        <v>16</v>
      </c>
      <c r="C49" s="27" t="s">
        <v>88</v>
      </c>
      <c r="D49" s="11">
        <v>45960</v>
      </c>
      <c r="E49" s="11">
        <f t="shared" si="6"/>
        <v>45992</v>
      </c>
      <c r="F49" s="10">
        <v>46028</v>
      </c>
      <c r="G49" s="8">
        <f t="shared" si="5"/>
        <v>36</v>
      </c>
      <c r="H49" s="29"/>
      <c r="S49" s="13"/>
    </row>
    <row r="50" spans="2:19" s="30" customFormat="1" ht="18.75" customHeight="1">
      <c r="B50" s="6">
        <v>17</v>
      </c>
      <c r="C50" s="27" t="s">
        <v>87</v>
      </c>
      <c r="D50" s="11">
        <v>45960</v>
      </c>
      <c r="E50" s="11">
        <f t="shared" si="6"/>
        <v>45994</v>
      </c>
      <c r="F50" s="10">
        <v>46027</v>
      </c>
      <c r="G50" s="8">
        <f t="shared" si="5"/>
        <v>33</v>
      </c>
      <c r="H50" s="29"/>
      <c r="S50" s="13"/>
    </row>
    <row r="51" spans="2:19" s="30" customFormat="1" ht="18.75" customHeight="1">
      <c r="B51" s="6">
        <v>18</v>
      </c>
      <c r="C51" s="27" t="s">
        <v>86</v>
      </c>
      <c r="D51" s="11">
        <v>45960</v>
      </c>
      <c r="E51" s="11">
        <f t="shared" si="6"/>
        <v>45996</v>
      </c>
      <c r="F51" s="10">
        <v>46027</v>
      </c>
      <c r="G51" s="8">
        <f t="shared" si="5"/>
        <v>31</v>
      </c>
      <c r="H51" s="29"/>
      <c r="S51" s="13"/>
    </row>
    <row r="52" spans="2:19" s="30" customFormat="1" ht="18.75" customHeight="1">
      <c r="B52" s="6">
        <v>19</v>
      </c>
      <c r="C52" s="27" t="s">
        <v>98</v>
      </c>
      <c r="D52" s="11">
        <v>45960</v>
      </c>
      <c r="E52" s="11">
        <f t="shared" si="6"/>
        <v>45998</v>
      </c>
      <c r="F52" s="10">
        <v>46040</v>
      </c>
      <c r="G52" s="8">
        <f t="shared" si="5"/>
        <v>42</v>
      </c>
      <c r="H52" s="70" t="s">
        <v>139</v>
      </c>
      <c r="S52" s="13"/>
    </row>
    <row r="53" spans="2:19" s="30" customFormat="1" ht="18.75" customHeight="1">
      <c r="B53" s="6">
        <v>20</v>
      </c>
      <c r="C53" s="27" t="s">
        <v>99</v>
      </c>
      <c r="D53" s="11">
        <v>45960</v>
      </c>
      <c r="E53" s="11">
        <f t="shared" si="6"/>
        <v>46000</v>
      </c>
      <c r="F53" s="10">
        <v>46041</v>
      </c>
      <c r="G53" s="8">
        <f t="shared" si="5"/>
        <v>41</v>
      </c>
      <c r="H53" s="70" t="s">
        <v>139</v>
      </c>
      <c r="S53" s="13"/>
    </row>
    <row r="54" spans="2:19" s="30" customFormat="1" ht="18.75" customHeight="1">
      <c r="B54" s="6">
        <v>21</v>
      </c>
      <c r="C54" s="27" t="s">
        <v>100</v>
      </c>
      <c r="D54" s="11">
        <v>45960</v>
      </c>
      <c r="E54" s="11">
        <f t="shared" si="6"/>
        <v>46002</v>
      </c>
      <c r="F54" s="10">
        <v>46042</v>
      </c>
      <c r="G54" s="8">
        <f t="shared" si="5"/>
        <v>40</v>
      </c>
      <c r="H54" s="70" t="s">
        <v>139</v>
      </c>
      <c r="S54" s="13"/>
    </row>
    <row r="55" spans="2:19" s="30" customFormat="1" ht="18.75" customHeight="1">
      <c r="B55" s="6">
        <v>22</v>
      </c>
      <c r="C55" s="27" t="s">
        <v>101</v>
      </c>
      <c r="D55" s="11">
        <v>45960</v>
      </c>
      <c r="E55" s="11">
        <f t="shared" si="6"/>
        <v>46004</v>
      </c>
      <c r="F55" s="10"/>
      <c r="G55" s="8"/>
      <c r="H55" s="70"/>
      <c r="S55" s="13"/>
    </row>
    <row r="56" spans="2:19" s="30" customFormat="1" ht="18.75" customHeight="1">
      <c r="B56" s="6">
        <v>23</v>
      </c>
      <c r="C56" s="27" t="s">
        <v>102</v>
      </c>
      <c r="D56" s="11">
        <v>45960</v>
      </c>
      <c r="E56" s="11">
        <f t="shared" si="6"/>
        <v>46006</v>
      </c>
      <c r="F56" s="10"/>
      <c r="G56" s="8"/>
      <c r="H56" s="72"/>
      <c r="S56" s="13"/>
    </row>
    <row r="57" spans="2:19" s="30" customFormat="1" ht="18.75" customHeight="1">
      <c r="B57" s="147">
        <v>24</v>
      </c>
      <c r="C57" s="148" t="s">
        <v>103</v>
      </c>
      <c r="D57" s="149">
        <v>45960</v>
      </c>
      <c r="E57" s="149">
        <f t="shared" si="6"/>
        <v>46008</v>
      </c>
      <c r="F57" s="150"/>
      <c r="G57" s="151"/>
      <c r="H57" s="72"/>
      <c r="S57" s="13"/>
    </row>
    <row r="58" spans="2:19" s="123" customFormat="1" ht="18.75" customHeight="1">
      <c r="B58" s="6">
        <v>25</v>
      </c>
      <c r="C58" s="27" t="s">
        <v>123</v>
      </c>
      <c r="D58" s="11">
        <v>45960</v>
      </c>
      <c r="E58" s="11">
        <f t="shared" si="6"/>
        <v>46010</v>
      </c>
      <c r="F58" s="10"/>
      <c r="G58" s="8"/>
      <c r="H58" s="152"/>
      <c r="S58" s="13"/>
    </row>
    <row r="59" spans="2:19" s="123" customFormat="1" ht="18.75" customHeight="1">
      <c r="B59" s="6">
        <v>26</v>
      </c>
      <c r="C59" s="27" t="s">
        <v>124</v>
      </c>
      <c r="D59" s="11">
        <v>45960</v>
      </c>
      <c r="E59" s="11">
        <f t="shared" si="6"/>
        <v>46012</v>
      </c>
      <c r="F59" s="10"/>
      <c r="G59" s="8"/>
      <c r="H59" s="152"/>
      <c r="S59" s="13"/>
    </row>
    <row r="60" spans="2:19" s="123" customFormat="1" ht="18.75" customHeight="1">
      <c r="B60" s="6">
        <v>27</v>
      </c>
      <c r="C60" s="27" t="s">
        <v>125</v>
      </c>
      <c r="D60" s="11">
        <v>45960</v>
      </c>
      <c r="E60" s="11">
        <f t="shared" si="6"/>
        <v>46014</v>
      </c>
      <c r="F60" s="10"/>
      <c r="G60" s="8"/>
      <c r="H60" s="152"/>
      <c r="S60" s="13"/>
    </row>
    <row r="61" spans="2:19" s="123" customFormat="1" ht="18.75" customHeight="1">
      <c r="B61" s="6">
        <v>28</v>
      </c>
      <c r="C61" s="27" t="s">
        <v>126</v>
      </c>
      <c r="D61" s="11">
        <v>45960</v>
      </c>
      <c r="E61" s="11">
        <f t="shared" si="6"/>
        <v>46016</v>
      </c>
      <c r="F61" s="10"/>
      <c r="G61" s="8"/>
      <c r="H61" s="152"/>
      <c r="S61" s="13"/>
    </row>
    <row r="62" spans="2:19" s="123" customFormat="1" ht="18.75" customHeight="1">
      <c r="B62" s="6">
        <v>29</v>
      </c>
      <c r="C62" s="27" t="s">
        <v>127</v>
      </c>
      <c r="D62" s="11">
        <v>45960</v>
      </c>
      <c r="E62" s="11">
        <f t="shared" si="6"/>
        <v>46018</v>
      </c>
      <c r="F62" s="10"/>
      <c r="G62" s="8"/>
      <c r="H62" s="152"/>
      <c r="S62" s="13"/>
    </row>
    <row r="63" spans="2:19" s="123" customFormat="1" ht="18.75" customHeight="1" thickBot="1">
      <c r="B63" s="99">
        <v>30</v>
      </c>
      <c r="C63" s="100" t="s">
        <v>128</v>
      </c>
      <c r="D63" s="86">
        <v>45960</v>
      </c>
      <c r="E63" s="86">
        <f t="shared" si="6"/>
        <v>46020</v>
      </c>
      <c r="F63" s="107"/>
      <c r="G63" s="108"/>
      <c r="H63" s="153"/>
      <c r="S63" s="13"/>
    </row>
    <row r="64" spans="2:19" s="2" customFormat="1" ht="18.75" customHeight="1" thickBot="1">
      <c r="B64" s="95" t="s">
        <v>26</v>
      </c>
      <c r="C64" s="204" t="s">
        <v>27</v>
      </c>
      <c r="D64" s="204"/>
      <c r="E64" s="204"/>
      <c r="F64" s="204"/>
      <c r="G64" s="204"/>
      <c r="H64" s="205"/>
      <c r="S64" s="12"/>
    </row>
    <row r="65" spans="2:19" ht="18.75" customHeight="1">
      <c r="B65" s="96">
        <v>1</v>
      </c>
      <c r="C65" s="109" t="s">
        <v>28</v>
      </c>
      <c r="D65" s="81">
        <v>45960</v>
      </c>
      <c r="E65" s="81">
        <f>D65+7</f>
        <v>45967</v>
      </c>
      <c r="F65" s="118" t="s">
        <v>15</v>
      </c>
      <c r="G65" s="105"/>
      <c r="H65" s="98" t="s">
        <v>70</v>
      </c>
    </row>
    <row r="66" spans="2:19" ht="18.75" customHeight="1" thickBot="1">
      <c r="B66" s="99">
        <v>2</v>
      </c>
      <c r="C66" s="110" t="s">
        <v>29</v>
      </c>
      <c r="D66" s="86">
        <v>45960</v>
      </c>
      <c r="E66" s="86">
        <f>D66+7</f>
        <v>45967</v>
      </c>
      <c r="F66" s="119" t="s">
        <v>15</v>
      </c>
      <c r="G66" s="108"/>
      <c r="H66" s="111" t="s">
        <v>70</v>
      </c>
      <c r="I66" s="123"/>
    </row>
    <row r="67" spans="2:19" s="2" customFormat="1" ht="18.75" customHeight="1">
      <c r="B67" s="112" t="s">
        <v>30</v>
      </c>
      <c r="C67" s="228" t="s">
        <v>40</v>
      </c>
      <c r="D67" s="228"/>
      <c r="E67" s="228"/>
      <c r="F67" s="228"/>
      <c r="G67" s="228"/>
      <c r="H67" s="229"/>
      <c r="J67" s="17"/>
      <c r="S67" s="12"/>
    </row>
    <row r="68" spans="2:19" s="14" customFormat="1" ht="22.5" customHeight="1">
      <c r="B68" s="16">
        <v>1</v>
      </c>
      <c r="C68" s="222" t="s">
        <v>71</v>
      </c>
      <c r="D68" s="223"/>
      <c r="E68" s="223"/>
      <c r="F68" s="223"/>
      <c r="G68" s="223"/>
      <c r="H68" s="224"/>
      <c r="I68" s="18"/>
      <c r="J68" s="17"/>
      <c r="S68" s="24"/>
    </row>
    <row r="69" spans="2:19" s="15" customFormat="1" ht="22.5" customHeight="1">
      <c r="B69" s="16">
        <v>4</v>
      </c>
      <c r="C69" s="222" t="s">
        <v>41</v>
      </c>
      <c r="D69" s="223"/>
      <c r="E69" s="223"/>
      <c r="F69" s="223"/>
      <c r="G69" s="223"/>
      <c r="H69" s="224"/>
      <c r="I69" s="19"/>
      <c r="J69" s="17"/>
      <c r="S69" s="25"/>
    </row>
    <row r="70" spans="2:19" s="15" customFormat="1" ht="22.5" customHeight="1" thickBot="1">
      <c r="B70" s="113">
        <v>5</v>
      </c>
      <c r="C70" s="225" t="s">
        <v>107</v>
      </c>
      <c r="D70" s="226"/>
      <c r="E70" s="226"/>
      <c r="F70" s="226"/>
      <c r="G70" s="226"/>
      <c r="H70" s="227"/>
      <c r="I70" s="20"/>
      <c r="J70" s="17"/>
      <c r="S70" s="25"/>
    </row>
    <row r="75" spans="2:19">
      <c r="B75" s="220"/>
      <c r="C75" s="220"/>
      <c r="D75" s="220"/>
      <c r="E75" s="220"/>
      <c r="F75" s="220"/>
      <c r="G75" s="220"/>
      <c r="H75" s="220"/>
    </row>
    <row r="76" spans="2:19">
      <c r="B76" s="220"/>
      <c r="C76" s="220"/>
      <c r="D76" s="220"/>
      <c r="E76" s="220"/>
      <c r="F76" s="220"/>
      <c r="G76" s="220"/>
      <c r="H76" s="220"/>
    </row>
    <row r="77" spans="2:19">
      <c r="B77" s="220"/>
      <c r="C77" s="220"/>
      <c r="D77" s="220"/>
      <c r="E77" s="220"/>
      <c r="F77" s="220"/>
      <c r="G77" s="220"/>
      <c r="H77" s="220"/>
    </row>
    <row r="78" spans="2:19">
      <c r="B78" s="220"/>
      <c r="C78" s="220"/>
      <c r="D78" s="220"/>
      <c r="E78" s="220"/>
      <c r="F78" s="220"/>
      <c r="G78" s="220"/>
      <c r="H78" s="220"/>
    </row>
    <row r="79" spans="2:19">
      <c r="B79" s="220"/>
      <c r="C79" s="220"/>
      <c r="D79" s="220"/>
      <c r="E79" s="220"/>
      <c r="F79" s="220"/>
      <c r="G79" s="220"/>
      <c r="H79" s="220"/>
    </row>
    <row r="80" spans="2:19">
      <c r="B80" s="220"/>
      <c r="C80" s="220"/>
      <c r="D80" s="220"/>
      <c r="E80" s="220"/>
      <c r="F80" s="220"/>
      <c r="G80" s="220"/>
      <c r="H80" s="220"/>
    </row>
    <row r="81" spans="2:8">
      <c r="B81" s="220"/>
      <c r="C81" s="220"/>
      <c r="D81" s="220"/>
      <c r="E81" s="220"/>
      <c r="F81" s="220"/>
      <c r="G81" s="220"/>
      <c r="H81" s="220"/>
    </row>
    <row r="82" spans="2:8">
      <c r="B82" s="220"/>
      <c r="C82" s="220"/>
      <c r="D82" s="220"/>
      <c r="E82" s="220"/>
      <c r="F82" s="220"/>
      <c r="G82" s="220"/>
      <c r="H82" s="220"/>
    </row>
    <row r="83" spans="2:8">
      <c r="B83" s="220"/>
      <c r="C83" s="220"/>
      <c r="D83" s="220"/>
      <c r="E83" s="220"/>
      <c r="F83" s="220"/>
      <c r="G83" s="220"/>
      <c r="H83" s="220"/>
    </row>
    <row r="84" spans="2:8">
      <c r="B84" s="220"/>
      <c r="C84" s="220"/>
      <c r="D84" s="220"/>
      <c r="E84" s="220"/>
      <c r="F84" s="220"/>
      <c r="G84" s="220"/>
      <c r="H84" s="220"/>
    </row>
    <row r="85" spans="2:8">
      <c r="B85" s="220"/>
      <c r="C85" s="220"/>
      <c r="D85" s="220"/>
      <c r="E85" s="220"/>
      <c r="F85" s="220"/>
      <c r="G85" s="220"/>
      <c r="H85" s="220"/>
    </row>
    <row r="86" spans="2:8">
      <c r="B86" s="220"/>
      <c r="C86" s="220"/>
      <c r="D86" s="220"/>
      <c r="E86" s="220"/>
      <c r="F86" s="220"/>
      <c r="G86" s="220"/>
      <c r="H86" s="220"/>
    </row>
    <row r="87" spans="2:8">
      <c r="B87" s="220"/>
      <c r="C87" s="220"/>
      <c r="D87" s="220"/>
      <c r="E87" s="220"/>
      <c r="F87" s="220"/>
      <c r="G87" s="220"/>
      <c r="H87" s="220"/>
    </row>
    <row r="88" spans="2:8">
      <c r="B88" s="220"/>
      <c r="C88" s="220"/>
      <c r="D88" s="220"/>
      <c r="E88" s="220"/>
      <c r="F88" s="220"/>
      <c r="G88" s="220"/>
      <c r="H88" s="220"/>
    </row>
    <row r="89" spans="2:8">
      <c r="B89" s="220"/>
      <c r="C89" s="220"/>
      <c r="D89" s="220"/>
      <c r="E89" s="220"/>
      <c r="F89" s="220"/>
      <c r="G89" s="220"/>
      <c r="H89" s="220"/>
    </row>
    <row r="90" spans="2:8">
      <c r="B90" s="220"/>
      <c r="C90" s="220"/>
      <c r="D90" s="220"/>
      <c r="E90" s="220"/>
      <c r="F90" s="220"/>
      <c r="G90" s="220"/>
      <c r="H90" s="220"/>
    </row>
    <row r="91" spans="2:8">
      <c r="B91" s="220"/>
      <c r="C91" s="220"/>
      <c r="D91" s="220"/>
      <c r="E91" s="220"/>
      <c r="F91" s="220"/>
      <c r="G91" s="220"/>
      <c r="H91" s="220"/>
    </row>
    <row r="92" spans="2:8">
      <c r="B92" s="220"/>
      <c r="C92" s="220"/>
      <c r="D92" s="220"/>
      <c r="E92" s="220"/>
      <c r="F92" s="220"/>
      <c r="G92" s="220"/>
      <c r="H92" s="220"/>
    </row>
    <row r="93" spans="2:8">
      <c r="B93" s="220"/>
      <c r="C93" s="220"/>
      <c r="D93" s="220"/>
      <c r="E93" s="220"/>
      <c r="F93" s="220"/>
      <c r="G93" s="220"/>
      <c r="H93" s="220"/>
    </row>
    <row r="94" spans="2:8">
      <c r="B94" s="220"/>
      <c r="C94" s="220"/>
      <c r="D94" s="220"/>
      <c r="E94" s="220"/>
      <c r="F94" s="220"/>
      <c r="G94" s="220"/>
      <c r="H94" s="220"/>
    </row>
    <row r="95" spans="2:8">
      <c r="B95" s="220"/>
      <c r="C95" s="220"/>
      <c r="D95" s="220"/>
      <c r="E95" s="220"/>
      <c r="F95" s="220"/>
      <c r="G95" s="220"/>
      <c r="H95" s="220"/>
    </row>
    <row r="96" spans="2:8">
      <c r="C96" s="220"/>
      <c r="D96" s="220"/>
      <c r="E96" s="220"/>
      <c r="F96" s="220"/>
      <c r="G96" s="220"/>
      <c r="H96" s="220"/>
    </row>
    <row r="97" spans="3:8">
      <c r="C97" s="220"/>
      <c r="D97" s="220"/>
      <c r="E97" s="220"/>
      <c r="F97" s="220"/>
      <c r="G97" s="220"/>
      <c r="H97" s="220"/>
    </row>
    <row r="98" spans="3:8">
      <c r="C98" s="220"/>
      <c r="D98" s="220"/>
      <c r="E98" s="220"/>
      <c r="F98" s="220"/>
      <c r="G98" s="220"/>
      <c r="H98" s="220"/>
    </row>
  </sheetData>
  <mergeCells count="30">
    <mergeCell ref="J34:J40"/>
    <mergeCell ref="C69:H69"/>
    <mergeCell ref="C70:H70"/>
    <mergeCell ref="C67:H67"/>
    <mergeCell ref="C68:H68"/>
    <mergeCell ref="C64:H64"/>
    <mergeCell ref="C96:H98"/>
    <mergeCell ref="B75:H77"/>
    <mergeCell ref="B78:H80"/>
    <mergeCell ref="B81:H83"/>
    <mergeCell ref="B84:H86"/>
    <mergeCell ref="B87:H89"/>
    <mergeCell ref="B90:H92"/>
    <mergeCell ref="B93:H95"/>
    <mergeCell ref="B2:H2"/>
    <mergeCell ref="B3:H3"/>
    <mergeCell ref="C5:H5"/>
    <mergeCell ref="C27:H27"/>
    <mergeCell ref="C33:H33"/>
    <mergeCell ref="B6:B8"/>
    <mergeCell ref="B9:B11"/>
    <mergeCell ref="B12:B14"/>
    <mergeCell ref="B15:B17"/>
    <mergeCell ref="B18:B20"/>
    <mergeCell ref="F9:F11"/>
    <mergeCell ref="G9:G11"/>
    <mergeCell ref="B21:B23"/>
    <mergeCell ref="B24:B26"/>
    <mergeCell ref="F18:F20"/>
    <mergeCell ref="F15:F17"/>
  </mergeCells>
  <phoneticPr fontId="22" type="noConversion"/>
  <pageMargins left="0.70866141732283505" right="0.70866141732283505" top="0.74803149606299202" bottom="0.74803149606299202" header="0.31496062992126" footer="0.31496062992126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P21"/>
  <sheetViews>
    <sheetView topLeftCell="DB13" zoomScale="85" zoomScaleNormal="85" zoomScaleSheetLayoutView="85" workbookViewId="0">
      <selection activeCell="CS4" sqref="CS4"/>
    </sheetView>
  </sheetViews>
  <sheetFormatPr defaultColWidth="8.85546875" defaultRowHeight="15.75" outlineLevelCol="1"/>
  <cols>
    <col min="1" max="1" width="8.85546875" style="32"/>
    <col min="2" max="2" width="5.28515625" style="32" customWidth="1"/>
    <col min="3" max="3" width="51.42578125" style="32" customWidth="1"/>
    <col min="4" max="4" width="14.140625" style="32" customWidth="1"/>
    <col min="5" max="5" width="4.85546875" style="33" hidden="1" customWidth="1" outlineLevel="1"/>
    <col min="6" max="6" width="4.85546875" style="32" hidden="1" customWidth="1" outlineLevel="1"/>
    <col min="7" max="7" width="4.85546875" style="33" hidden="1" customWidth="1" outlineLevel="1"/>
    <col min="8" max="8" width="4.85546875" style="32" hidden="1" customWidth="1" outlineLevel="1"/>
    <col min="9" max="9" width="4.85546875" style="33" hidden="1" customWidth="1" outlineLevel="1"/>
    <col min="10" max="10" width="4.85546875" style="32" hidden="1" customWidth="1" outlineLevel="1"/>
    <col min="11" max="11" width="4.85546875" style="33" hidden="1" customWidth="1" outlineLevel="1"/>
    <col min="12" max="12" width="4.85546875" style="32" hidden="1" customWidth="1" outlineLevel="1"/>
    <col min="13" max="13" width="4.85546875" style="33" hidden="1" customWidth="1" outlineLevel="1"/>
    <col min="14" max="14" width="4.85546875" style="32" hidden="1" customWidth="1" outlineLevel="1"/>
    <col min="15" max="15" width="4.85546875" style="33" hidden="1" customWidth="1" outlineLevel="1"/>
    <col min="16" max="16" width="4.85546875" style="32" hidden="1" customWidth="1" outlineLevel="1"/>
    <col min="17" max="17" width="4.85546875" style="33" hidden="1" customWidth="1" outlineLevel="1"/>
    <col min="18" max="18" width="4.85546875" style="32" hidden="1" customWidth="1" outlineLevel="1"/>
    <col min="19" max="19" width="4.85546875" style="33" hidden="1" customWidth="1" outlineLevel="1"/>
    <col min="20" max="20" width="4.85546875" style="32" hidden="1" customWidth="1" outlineLevel="1"/>
    <col min="21" max="21" width="4.85546875" style="33" hidden="1" customWidth="1" outlineLevel="1"/>
    <col min="22" max="22" width="4.85546875" style="32" hidden="1" customWidth="1" outlineLevel="1"/>
    <col min="23" max="23" width="4.85546875" style="33" hidden="1" customWidth="1" outlineLevel="1"/>
    <col min="24" max="24" width="4.85546875" style="32" hidden="1" customWidth="1" outlineLevel="1"/>
    <col min="25" max="25" width="4.85546875" style="33" hidden="1" customWidth="1" outlineLevel="1"/>
    <col min="26" max="26" width="4.85546875" style="32" hidden="1" customWidth="1" outlineLevel="1"/>
    <col min="27" max="27" width="4.85546875" style="33" hidden="1" customWidth="1" outlineLevel="1"/>
    <col min="28" max="28" width="4.85546875" style="32" hidden="1" customWidth="1" outlineLevel="1"/>
    <col min="29" max="29" width="4.85546875" style="33" hidden="1" customWidth="1" outlineLevel="1"/>
    <col min="30" max="30" width="4.85546875" style="32" hidden="1" customWidth="1" outlineLevel="1"/>
    <col min="31" max="31" width="4.85546875" style="33" hidden="1" customWidth="1" outlineLevel="1"/>
    <col min="32" max="32" width="4.85546875" style="32" hidden="1" customWidth="1" outlineLevel="1"/>
    <col min="33" max="33" width="4.85546875" style="33" hidden="1" customWidth="1" outlineLevel="1"/>
    <col min="34" max="34" width="4.85546875" style="32" hidden="1" customWidth="1" outlineLevel="1"/>
    <col min="35" max="35" width="4.85546875" style="33" hidden="1" customWidth="1" outlineLevel="1"/>
    <col min="36" max="36" width="4.85546875" style="32" hidden="1" customWidth="1" outlineLevel="1"/>
    <col min="37" max="37" width="4.85546875" style="33" hidden="1" customWidth="1" outlineLevel="1"/>
    <col min="38" max="38" width="4.85546875" style="32" hidden="1" customWidth="1" outlineLevel="1"/>
    <col min="39" max="39" width="4.85546875" style="33" hidden="1" customWidth="1" outlineLevel="1"/>
    <col min="40" max="40" width="4.85546875" style="32" hidden="1" customWidth="1" outlineLevel="1"/>
    <col min="41" max="41" width="4.85546875" style="33" hidden="1" customWidth="1" outlineLevel="1"/>
    <col min="42" max="42" width="4.85546875" style="32" hidden="1" customWidth="1" outlineLevel="1"/>
    <col min="43" max="43" width="4.85546875" style="33" hidden="1" customWidth="1" outlineLevel="1"/>
    <col min="44" max="44" width="4.85546875" style="32" hidden="1" customWidth="1" outlineLevel="1"/>
    <col min="45" max="45" width="4.85546875" style="33" hidden="1" customWidth="1" outlineLevel="1"/>
    <col min="46" max="46" width="4.85546875" style="32" hidden="1" customWidth="1" outlineLevel="1"/>
    <col min="47" max="47" width="4.85546875" style="33" hidden="1" customWidth="1" outlineLevel="1"/>
    <col min="48" max="48" width="4.85546875" style="32" hidden="1" customWidth="1" outlineLevel="1"/>
    <col min="49" max="49" width="4.85546875" style="33" hidden="1" customWidth="1" outlineLevel="1"/>
    <col min="50" max="50" width="4.85546875" style="32" hidden="1" customWidth="1" outlineLevel="1"/>
    <col min="51" max="51" width="4.85546875" style="33" hidden="1" customWidth="1" outlineLevel="1"/>
    <col min="52" max="52" width="4.85546875" style="32" hidden="1" customWidth="1" outlineLevel="1"/>
    <col min="53" max="53" width="4.85546875" style="33" hidden="1" customWidth="1" outlineLevel="1"/>
    <col min="54" max="54" width="4.85546875" style="32" hidden="1" customWidth="1" outlineLevel="1"/>
    <col min="55" max="55" width="4.85546875" style="33" hidden="1" customWidth="1" outlineLevel="1"/>
    <col min="56" max="56" width="4.85546875" style="32" hidden="1" customWidth="1" outlineLevel="1"/>
    <col min="57" max="57" width="4.85546875" style="33" hidden="1" customWidth="1" outlineLevel="1"/>
    <col min="58" max="58" width="4.85546875" style="32" hidden="1" customWidth="1" outlineLevel="1"/>
    <col min="59" max="59" width="4.85546875" style="33" hidden="1" customWidth="1" outlineLevel="1"/>
    <col min="60" max="60" width="4.85546875" style="32" hidden="1" customWidth="1" outlineLevel="1"/>
    <col min="61" max="61" width="4.85546875" style="33" hidden="1" customWidth="1" outlineLevel="1"/>
    <col min="62" max="62" width="4.85546875" style="32" hidden="1" customWidth="1" outlineLevel="1"/>
    <col min="63" max="63" width="4.85546875" style="33" hidden="1" customWidth="1" outlineLevel="1"/>
    <col min="64" max="64" width="4.85546875" style="32" hidden="1" customWidth="1" outlineLevel="1"/>
    <col min="65" max="65" width="4.85546875" style="33" hidden="1" customWidth="1" outlineLevel="1"/>
    <col min="66" max="66" width="4.85546875" style="32" customWidth="1" collapsed="1"/>
    <col min="67" max="67" width="4.85546875" style="33" customWidth="1"/>
    <col min="68" max="68" width="4.85546875" style="32" customWidth="1"/>
    <col min="69" max="69" width="4.85546875" style="33" customWidth="1"/>
    <col min="70" max="70" width="4.85546875" style="32" customWidth="1"/>
    <col min="71" max="71" width="4.85546875" style="33" customWidth="1"/>
    <col min="72" max="72" width="4.85546875" style="32" customWidth="1"/>
    <col min="73" max="73" width="4.85546875" style="33" customWidth="1"/>
    <col min="74" max="74" width="4.85546875" style="32" customWidth="1"/>
    <col min="75" max="75" width="4.85546875" style="33" customWidth="1"/>
    <col min="76" max="76" width="4.85546875" style="32" customWidth="1"/>
    <col min="77" max="77" width="4.85546875" style="33" customWidth="1"/>
    <col min="78" max="78" width="4.85546875" style="32" customWidth="1"/>
    <col min="79" max="79" width="4.85546875" style="33" customWidth="1"/>
    <col min="80" max="80" width="4.85546875" style="32" customWidth="1"/>
    <col min="81" max="81" width="4.85546875" style="33" customWidth="1"/>
    <col min="82" max="82" width="4.85546875" style="32" customWidth="1"/>
    <col min="83" max="83" width="4.85546875" style="33" customWidth="1"/>
    <col min="84" max="84" width="4.85546875" style="32" customWidth="1"/>
    <col min="85" max="85" width="4.28515625" style="33" customWidth="1"/>
    <col min="86" max="86" width="4.28515625" style="32" customWidth="1"/>
    <col min="87" max="87" width="4.28515625" style="33" customWidth="1"/>
    <col min="88" max="88" width="4.28515625" style="32" customWidth="1"/>
    <col min="89" max="89" width="4.28515625" style="33" customWidth="1"/>
    <col min="90" max="90" width="4.28515625" style="158" customWidth="1"/>
    <col min="91" max="91" width="4.28515625" style="33" customWidth="1"/>
    <col min="92" max="92" width="4.28515625" style="32" customWidth="1"/>
    <col min="93" max="93" width="4.28515625" style="33" customWidth="1"/>
    <col min="94" max="94" width="4.28515625" style="32" customWidth="1"/>
    <col min="95" max="95" width="4.28515625" style="33" customWidth="1"/>
    <col min="96" max="96" width="4.28515625" style="32" customWidth="1"/>
    <col min="97" max="97" width="4.28515625" style="33" customWidth="1"/>
    <col min="98" max="98" width="4.28515625" style="32" customWidth="1"/>
    <col min="99" max="99" width="4.28515625" style="33" customWidth="1"/>
    <col min="100" max="100" width="4.28515625" style="32" customWidth="1"/>
    <col min="101" max="101" width="4.28515625" style="33" customWidth="1"/>
    <col min="102" max="102" width="4.28515625" style="32" customWidth="1"/>
    <col min="103" max="103" width="4.28515625" style="33" customWidth="1"/>
    <col min="104" max="104" width="4.28515625" style="32" customWidth="1"/>
    <col min="105" max="105" width="4.28515625" style="33" customWidth="1"/>
    <col min="106" max="106" width="4.28515625" style="32" customWidth="1"/>
    <col min="107" max="107" width="4.28515625" style="33" customWidth="1"/>
    <col min="108" max="108" width="4.28515625" style="32" customWidth="1"/>
    <col min="109" max="109" width="4.28515625" style="33" customWidth="1"/>
    <col min="110" max="110" width="4.28515625" style="32" customWidth="1"/>
    <col min="111" max="111" width="4.28515625" style="33" customWidth="1"/>
    <col min="112" max="112" width="4.28515625" style="32" customWidth="1"/>
    <col min="113" max="113" width="4.28515625" style="33" customWidth="1"/>
    <col min="114" max="114" width="4.28515625" style="32" customWidth="1"/>
    <col min="115" max="115" width="4.28515625" style="33" customWidth="1"/>
    <col min="116" max="116" width="4.28515625" style="32" customWidth="1"/>
    <col min="117" max="117" width="4.28515625" style="33" customWidth="1"/>
    <col min="118" max="118" width="4.28515625" style="32" customWidth="1"/>
    <col min="119" max="119" width="4.28515625" style="33" customWidth="1"/>
    <col min="120" max="120" width="4.28515625" style="32" customWidth="1"/>
    <col min="121" max="121" width="4.28515625" style="33" customWidth="1"/>
    <col min="122" max="122" width="4.28515625" style="32" customWidth="1"/>
    <col min="123" max="123" width="4.28515625" style="33" customWidth="1"/>
    <col min="124" max="124" width="4.28515625" style="32" customWidth="1"/>
    <col min="125" max="125" width="4.28515625" style="33" customWidth="1"/>
    <col min="126" max="126" width="4.28515625" style="32" customWidth="1"/>
    <col min="127" max="127" width="4.28515625" style="33" customWidth="1"/>
    <col min="128" max="128" width="4.28515625" style="32" customWidth="1"/>
    <col min="129" max="129" width="4.28515625" style="33" customWidth="1"/>
    <col min="130" max="130" width="4.28515625" style="32" customWidth="1"/>
    <col min="131" max="131" width="4.28515625" style="33" customWidth="1"/>
    <col min="132" max="132" width="6" style="32" customWidth="1"/>
    <col min="133" max="133" width="4.85546875" style="32" customWidth="1"/>
    <col min="134" max="16384" width="8.85546875" style="32"/>
  </cols>
  <sheetData>
    <row r="2" spans="2:146" s="31" customFormat="1" ht="34.15" customHeight="1">
      <c r="B2" s="230" t="s">
        <v>72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  <c r="BA2" s="230"/>
      <c r="BB2" s="230"/>
      <c r="BC2" s="230"/>
      <c r="BD2" s="230"/>
      <c r="BE2" s="230"/>
      <c r="BF2" s="230"/>
      <c r="BG2" s="230"/>
      <c r="BH2" s="230"/>
      <c r="BI2" s="230"/>
      <c r="BJ2" s="230"/>
      <c r="BK2" s="230"/>
      <c r="BL2" s="230"/>
      <c r="BM2" s="230"/>
      <c r="BN2" s="230"/>
      <c r="BO2" s="230"/>
      <c r="BP2" s="230"/>
      <c r="BQ2" s="230"/>
      <c r="BR2" s="230"/>
      <c r="BS2" s="230"/>
      <c r="BT2" s="230"/>
      <c r="BU2" s="230"/>
      <c r="BV2" s="230"/>
      <c r="BW2" s="230"/>
      <c r="BX2" s="230"/>
      <c r="BY2" s="230"/>
      <c r="BZ2" s="230"/>
      <c r="CA2" s="230"/>
      <c r="CB2" s="230"/>
      <c r="CC2" s="230"/>
      <c r="CD2" s="230"/>
      <c r="CE2" s="230"/>
      <c r="CF2" s="230"/>
      <c r="CG2" s="154"/>
      <c r="CI2" s="154"/>
      <c r="CK2" s="154"/>
      <c r="CL2" s="156"/>
      <c r="CM2" s="154"/>
      <c r="CO2" s="154"/>
      <c r="CQ2" s="154"/>
      <c r="CS2" s="154"/>
      <c r="CU2" s="154"/>
      <c r="CW2" s="154"/>
      <c r="CY2" s="154"/>
      <c r="DA2" s="154"/>
      <c r="DC2" s="154"/>
      <c r="DE2" s="154"/>
      <c r="DG2" s="154"/>
      <c r="DI2" s="154"/>
      <c r="DK2" s="154"/>
      <c r="DM2" s="154"/>
      <c r="DO2" s="154"/>
      <c r="DQ2" s="154"/>
      <c r="DS2" s="154"/>
      <c r="DU2" s="154"/>
      <c r="DW2" s="154"/>
      <c r="DY2" s="154"/>
      <c r="EA2" s="154"/>
    </row>
    <row r="3" spans="2:146" s="31" customFormat="1" ht="18.75">
      <c r="B3" s="231" t="s">
        <v>42</v>
      </c>
      <c r="C3" s="231"/>
      <c r="D3" s="231"/>
      <c r="E3" s="34"/>
      <c r="F3" s="35"/>
      <c r="G3" s="34"/>
      <c r="H3" s="35"/>
      <c r="I3" s="34"/>
      <c r="J3" s="35"/>
      <c r="K3" s="34"/>
      <c r="L3" s="35"/>
      <c r="M3" s="34"/>
      <c r="N3" s="35"/>
      <c r="O3" s="34"/>
      <c r="P3" s="35"/>
      <c r="Q3" s="34"/>
      <c r="R3" s="35"/>
      <c r="S3" s="34"/>
      <c r="T3" s="35"/>
      <c r="U3" s="34"/>
      <c r="V3" s="35"/>
      <c r="W3" s="34"/>
      <c r="X3" s="35"/>
      <c r="Y3" s="34"/>
      <c r="Z3" s="35"/>
      <c r="AA3" s="34"/>
      <c r="AB3" s="35"/>
      <c r="AC3" s="34"/>
      <c r="AD3" s="35"/>
      <c r="AE3" s="34"/>
      <c r="AF3" s="35"/>
      <c r="AG3" s="34"/>
      <c r="AH3" s="35"/>
      <c r="AI3" s="34"/>
      <c r="AJ3" s="35"/>
      <c r="AK3" s="34"/>
      <c r="AL3" s="36"/>
      <c r="AM3" s="37"/>
      <c r="AN3" s="36"/>
      <c r="AO3" s="37"/>
      <c r="AP3" s="36"/>
      <c r="AQ3" s="37"/>
      <c r="AR3" s="36"/>
      <c r="AS3" s="37"/>
      <c r="AT3" s="36"/>
      <c r="AU3" s="37"/>
      <c r="AV3" s="36"/>
      <c r="AW3" s="37"/>
      <c r="AX3" s="36"/>
      <c r="AY3" s="37"/>
      <c r="AZ3" s="36"/>
      <c r="BA3" s="37"/>
      <c r="BB3" s="36"/>
      <c r="BC3" s="37"/>
      <c r="BD3" s="36"/>
      <c r="BE3" s="37"/>
      <c r="BF3" s="36"/>
      <c r="BG3" s="37"/>
      <c r="BH3" s="36"/>
      <c r="BI3" s="37"/>
      <c r="BJ3" s="36"/>
      <c r="BK3" s="37"/>
      <c r="BL3" s="36"/>
      <c r="BM3" s="37"/>
      <c r="BN3" s="36"/>
      <c r="BO3" s="37"/>
      <c r="BP3" s="36"/>
      <c r="BQ3" s="37"/>
      <c r="BR3" s="36"/>
      <c r="BS3" s="37"/>
      <c r="BT3" s="36"/>
      <c r="BU3" s="37"/>
      <c r="BV3" s="36"/>
      <c r="BW3" s="37"/>
      <c r="BX3" s="36"/>
      <c r="BY3" s="37"/>
      <c r="BZ3" s="36"/>
      <c r="CA3" s="37"/>
      <c r="CB3" s="36"/>
      <c r="CC3" s="37"/>
      <c r="CD3" s="36"/>
      <c r="CE3" s="37"/>
      <c r="CF3" s="36"/>
      <c r="CG3" s="154"/>
      <c r="CI3" s="154"/>
      <c r="CK3" s="154"/>
      <c r="CL3" s="156"/>
      <c r="CM3" s="154"/>
      <c r="CO3" s="154"/>
      <c r="CQ3" s="154"/>
      <c r="CS3" s="154"/>
      <c r="CU3" s="154"/>
      <c r="CW3" s="154"/>
      <c r="CY3" s="154"/>
      <c r="DA3" s="154"/>
      <c r="DC3" s="154"/>
      <c r="DE3" s="154"/>
      <c r="DG3" s="154"/>
      <c r="DI3" s="154"/>
      <c r="DK3" s="154"/>
      <c r="DM3" s="154"/>
      <c r="DO3" s="154"/>
      <c r="DQ3" s="154"/>
      <c r="DS3" s="154"/>
      <c r="DU3" s="154"/>
      <c r="DW3" s="154"/>
      <c r="DY3" s="154"/>
      <c r="EA3" s="154"/>
    </row>
    <row r="4" spans="2:146" s="31" customFormat="1" ht="24.6" customHeight="1">
      <c r="B4" s="233" t="s">
        <v>1</v>
      </c>
      <c r="C4" s="233" t="s">
        <v>43</v>
      </c>
      <c r="D4" s="234" t="s">
        <v>44</v>
      </c>
      <c r="E4" s="233" t="s">
        <v>83</v>
      </c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 t="s">
        <v>84</v>
      </c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 t="s">
        <v>85</v>
      </c>
      <c r="BO4" s="233"/>
      <c r="BP4" s="233"/>
      <c r="BQ4" s="233"/>
      <c r="BR4" s="233"/>
      <c r="BS4" s="233"/>
      <c r="BT4" s="233"/>
      <c r="BU4" s="233"/>
      <c r="BV4" s="233"/>
      <c r="BW4" s="233"/>
      <c r="BX4" s="233"/>
      <c r="BY4" s="233"/>
      <c r="BZ4" s="233"/>
      <c r="CA4" s="233"/>
      <c r="CB4" s="233"/>
      <c r="CC4" s="233"/>
      <c r="CD4" s="233"/>
      <c r="CE4" s="233"/>
      <c r="CF4" s="233"/>
      <c r="CG4" s="154"/>
      <c r="CI4" s="154"/>
      <c r="CK4" s="154"/>
      <c r="CL4" s="156"/>
      <c r="CM4" s="154"/>
      <c r="CO4" s="154"/>
      <c r="CQ4" s="154"/>
      <c r="CS4" s="154"/>
      <c r="CU4" s="154"/>
      <c r="CW4" s="154"/>
      <c r="CY4" s="154"/>
      <c r="DA4" s="154"/>
      <c r="DC4" s="154"/>
      <c r="DE4" s="154"/>
      <c r="DG4" s="154"/>
      <c r="DI4" s="154"/>
      <c r="DK4" s="154"/>
      <c r="DM4" s="154"/>
      <c r="DO4" s="154"/>
      <c r="DQ4" s="154"/>
      <c r="DS4" s="154"/>
      <c r="DU4" s="154"/>
      <c r="DW4" s="154"/>
      <c r="DY4" s="154"/>
      <c r="EA4" s="154"/>
    </row>
    <row r="5" spans="2:146" s="31" customFormat="1" ht="70.150000000000006" customHeight="1">
      <c r="B5" s="233"/>
      <c r="C5" s="233"/>
      <c r="D5" s="234"/>
      <c r="E5" s="38">
        <v>45962</v>
      </c>
      <c r="F5" s="39">
        <f>E5+1</f>
        <v>45963</v>
      </c>
      <c r="G5" s="38">
        <f t="shared" ref="G5:AH5" si="0">F5+1</f>
        <v>45964</v>
      </c>
      <c r="H5" s="39">
        <f t="shared" si="0"/>
        <v>45965</v>
      </c>
      <c r="I5" s="38">
        <f t="shared" si="0"/>
        <v>45966</v>
      </c>
      <c r="J5" s="39">
        <f t="shared" si="0"/>
        <v>45967</v>
      </c>
      <c r="K5" s="38">
        <f t="shared" si="0"/>
        <v>45968</v>
      </c>
      <c r="L5" s="39">
        <f t="shared" si="0"/>
        <v>45969</v>
      </c>
      <c r="M5" s="38">
        <f t="shared" si="0"/>
        <v>45970</v>
      </c>
      <c r="N5" s="39">
        <f t="shared" si="0"/>
        <v>45971</v>
      </c>
      <c r="O5" s="38">
        <f t="shared" si="0"/>
        <v>45972</v>
      </c>
      <c r="P5" s="39">
        <f t="shared" si="0"/>
        <v>45973</v>
      </c>
      <c r="Q5" s="38">
        <f t="shared" si="0"/>
        <v>45974</v>
      </c>
      <c r="R5" s="39">
        <f t="shared" si="0"/>
        <v>45975</v>
      </c>
      <c r="S5" s="38">
        <f t="shared" si="0"/>
        <v>45976</v>
      </c>
      <c r="T5" s="39">
        <f t="shared" si="0"/>
        <v>45977</v>
      </c>
      <c r="U5" s="38">
        <f t="shared" si="0"/>
        <v>45978</v>
      </c>
      <c r="V5" s="39">
        <f t="shared" si="0"/>
        <v>45979</v>
      </c>
      <c r="W5" s="38">
        <f t="shared" si="0"/>
        <v>45980</v>
      </c>
      <c r="X5" s="39">
        <f t="shared" si="0"/>
        <v>45981</v>
      </c>
      <c r="Y5" s="38">
        <f t="shared" si="0"/>
        <v>45982</v>
      </c>
      <c r="Z5" s="39">
        <f t="shared" si="0"/>
        <v>45983</v>
      </c>
      <c r="AA5" s="38">
        <f t="shared" si="0"/>
        <v>45984</v>
      </c>
      <c r="AB5" s="39">
        <f t="shared" si="0"/>
        <v>45985</v>
      </c>
      <c r="AC5" s="38">
        <f t="shared" si="0"/>
        <v>45986</v>
      </c>
      <c r="AD5" s="39">
        <f t="shared" si="0"/>
        <v>45987</v>
      </c>
      <c r="AE5" s="38">
        <f t="shared" si="0"/>
        <v>45988</v>
      </c>
      <c r="AF5" s="39">
        <f t="shared" si="0"/>
        <v>45989</v>
      </c>
      <c r="AG5" s="38">
        <f t="shared" si="0"/>
        <v>45990</v>
      </c>
      <c r="AH5" s="39">
        <f t="shared" si="0"/>
        <v>45991</v>
      </c>
      <c r="AI5" s="38">
        <f t="shared" ref="AI5" si="1">AH5+1</f>
        <v>45992</v>
      </c>
      <c r="AJ5" s="39">
        <f t="shared" ref="AJ5" si="2">AI5+1</f>
        <v>45993</v>
      </c>
      <c r="AK5" s="38">
        <f t="shared" ref="AK5:AL5" si="3">AJ5+1</f>
        <v>45994</v>
      </c>
      <c r="AL5" s="39">
        <f t="shared" si="3"/>
        <v>45995</v>
      </c>
      <c r="AM5" s="38">
        <f t="shared" ref="AM5" si="4">AL5+1</f>
        <v>45996</v>
      </c>
      <c r="AN5" s="39">
        <f t="shared" ref="AN5" si="5">AM5+1</f>
        <v>45997</v>
      </c>
      <c r="AO5" s="38">
        <f t="shared" ref="AO5" si="6">AN5+1</f>
        <v>45998</v>
      </c>
      <c r="AP5" s="39">
        <f t="shared" ref="AP5" si="7">AO5+1</f>
        <v>45999</v>
      </c>
      <c r="AQ5" s="38">
        <f t="shared" ref="AQ5" si="8">AP5+1</f>
        <v>46000</v>
      </c>
      <c r="AR5" s="39">
        <f t="shared" ref="AR5" si="9">AQ5+1</f>
        <v>46001</v>
      </c>
      <c r="AS5" s="38">
        <f t="shared" ref="AS5" si="10">AR5+1</f>
        <v>46002</v>
      </c>
      <c r="AT5" s="39">
        <f t="shared" ref="AT5" si="11">AS5+1</f>
        <v>46003</v>
      </c>
      <c r="AU5" s="38">
        <f t="shared" ref="AU5" si="12">AT5+1</f>
        <v>46004</v>
      </c>
      <c r="AV5" s="39">
        <f t="shared" ref="AV5" si="13">AU5+1</f>
        <v>46005</v>
      </c>
      <c r="AW5" s="38">
        <f t="shared" ref="AW5" si="14">AV5+1</f>
        <v>46006</v>
      </c>
      <c r="AX5" s="39">
        <f t="shared" ref="AX5" si="15">AW5+1</f>
        <v>46007</v>
      </c>
      <c r="AY5" s="38">
        <f t="shared" ref="AY5" si="16">AX5+1</f>
        <v>46008</v>
      </c>
      <c r="AZ5" s="39">
        <f t="shared" ref="AZ5" si="17">AY5+1</f>
        <v>46009</v>
      </c>
      <c r="BA5" s="38">
        <f t="shared" ref="BA5" si="18">AZ5+1</f>
        <v>46010</v>
      </c>
      <c r="BB5" s="39">
        <f t="shared" ref="BB5" si="19">BA5+1</f>
        <v>46011</v>
      </c>
      <c r="BC5" s="38">
        <f t="shared" ref="BC5" si="20">BB5+1</f>
        <v>46012</v>
      </c>
      <c r="BD5" s="39">
        <f t="shared" ref="BD5" si="21">BC5+1</f>
        <v>46013</v>
      </c>
      <c r="BE5" s="38">
        <f t="shared" ref="BE5" si="22">BD5+1</f>
        <v>46014</v>
      </c>
      <c r="BF5" s="39">
        <f t="shared" ref="BF5" si="23">BE5+1</f>
        <v>46015</v>
      </c>
      <c r="BG5" s="38">
        <f t="shared" ref="BG5" si="24">BF5+1</f>
        <v>46016</v>
      </c>
      <c r="BH5" s="39">
        <f t="shared" ref="BH5" si="25">BG5+1</f>
        <v>46017</v>
      </c>
      <c r="BI5" s="38">
        <f t="shared" ref="BI5" si="26">BH5+1</f>
        <v>46018</v>
      </c>
      <c r="BJ5" s="39">
        <f t="shared" ref="BJ5" si="27">BI5+1</f>
        <v>46019</v>
      </c>
      <c r="BK5" s="38">
        <f t="shared" ref="BK5" si="28">BJ5+1</f>
        <v>46020</v>
      </c>
      <c r="BL5" s="39">
        <f t="shared" ref="BL5" si="29">BK5+1</f>
        <v>46021</v>
      </c>
      <c r="BM5" s="38">
        <f>BL5+1</f>
        <v>46022</v>
      </c>
      <c r="BN5" s="39">
        <f>BM5+1</f>
        <v>46023</v>
      </c>
      <c r="BO5" s="38">
        <f>BN5+1</f>
        <v>46024</v>
      </c>
      <c r="BP5" s="39">
        <f t="shared" ref="BP5:CF5" si="30">BO5+1</f>
        <v>46025</v>
      </c>
      <c r="BQ5" s="38">
        <f t="shared" si="30"/>
        <v>46026</v>
      </c>
      <c r="BR5" s="39">
        <f t="shared" si="30"/>
        <v>46027</v>
      </c>
      <c r="BS5" s="38">
        <f t="shared" si="30"/>
        <v>46028</v>
      </c>
      <c r="BT5" s="39">
        <f t="shared" si="30"/>
        <v>46029</v>
      </c>
      <c r="BU5" s="38">
        <f t="shared" si="30"/>
        <v>46030</v>
      </c>
      <c r="BV5" s="39">
        <f t="shared" si="30"/>
        <v>46031</v>
      </c>
      <c r="BW5" s="38">
        <f t="shared" si="30"/>
        <v>46032</v>
      </c>
      <c r="BX5" s="39">
        <f t="shared" si="30"/>
        <v>46033</v>
      </c>
      <c r="BY5" s="38">
        <f t="shared" si="30"/>
        <v>46034</v>
      </c>
      <c r="BZ5" s="39">
        <f t="shared" si="30"/>
        <v>46035</v>
      </c>
      <c r="CA5" s="38">
        <f t="shared" si="30"/>
        <v>46036</v>
      </c>
      <c r="CB5" s="39">
        <f t="shared" si="30"/>
        <v>46037</v>
      </c>
      <c r="CC5" s="38">
        <f t="shared" si="30"/>
        <v>46038</v>
      </c>
      <c r="CD5" s="39">
        <f t="shared" si="30"/>
        <v>46039</v>
      </c>
      <c r="CE5" s="38">
        <f t="shared" si="30"/>
        <v>46040</v>
      </c>
      <c r="CF5" s="39">
        <f t="shared" si="30"/>
        <v>46041</v>
      </c>
      <c r="CG5" s="38">
        <f t="shared" ref="CG5" si="31">CF5+1</f>
        <v>46042</v>
      </c>
      <c r="CH5" s="39">
        <f t="shared" ref="CH5" si="32">CG5+1</f>
        <v>46043</v>
      </c>
      <c r="CI5" s="38">
        <f t="shared" ref="CI5" si="33">CH5+1</f>
        <v>46044</v>
      </c>
      <c r="CJ5" s="39">
        <f t="shared" ref="CJ5" si="34">CI5+1</f>
        <v>46045</v>
      </c>
      <c r="CK5" s="38">
        <f t="shared" ref="CK5" si="35">CJ5+1</f>
        <v>46046</v>
      </c>
      <c r="CL5" s="157">
        <f t="shared" ref="CL5" si="36">CK5+1</f>
        <v>46047</v>
      </c>
      <c r="CM5" s="38">
        <f t="shared" ref="CM5" si="37">CL5+1</f>
        <v>46048</v>
      </c>
      <c r="CN5" s="39">
        <f t="shared" ref="CN5" si="38">CM5+1</f>
        <v>46049</v>
      </c>
      <c r="CO5" s="38">
        <f t="shared" ref="CO5" si="39">CN5+1</f>
        <v>46050</v>
      </c>
      <c r="CP5" s="39">
        <f t="shared" ref="CP5" si="40">CO5+1</f>
        <v>46051</v>
      </c>
      <c r="CQ5" s="38">
        <f t="shared" ref="CQ5" si="41">CP5+1</f>
        <v>46052</v>
      </c>
      <c r="CR5" s="39">
        <f t="shared" ref="CR5" si="42">CQ5+1</f>
        <v>46053</v>
      </c>
      <c r="CS5" s="38">
        <f t="shared" ref="CS5" si="43">CR5+1</f>
        <v>46054</v>
      </c>
      <c r="CT5" s="39">
        <f t="shared" ref="CT5" si="44">CS5+1</f>
        <v>46055</v>
      </c>
      <c r="CU5" s="155">
        <f t="shared" ref="CU5" si="45">CT5+1</f>
        <v>46056</v>
      </c>
      <c r="CV5" s="39">
        <f t="shared" ref="CV5" si="46">CU5+1</f>
        <v>46057</v>
      </c>
      <c r="CW5" s="38">
        <f t="shared" ref="CW5:CY5" si="47">CV5+1</f>
        <v>46058</v>
      </c>
      <c r="CX5" s="39">
        <f t="shared" si="47"/>
        <v>46059</v>
      </c>
      <c r="CY5" s="38">
        <f t="shared" si="47"/>
        <v>46060</v>
      </c>
      <c r="CZ5" s="39">
        <f t="shared" ref="CZ5" si="48">CY5+1</f>
        <v>46061</v>
      </c>
      <c r="DA5" s="38">
        <f t="shared" ref="DA5" si="49">CZ5+1</f>
        <v>46062</v>
      </c>
      <c r="DB5" s="39">
        <f t="shared" ref="DB5" si="50">DA5+1</f>
        <v>46063</v>
      </c>
      <c r="DC5" s="38">
        <f t="shared" ref="DC5" si="51">DB5+1</f>
        <v>46064</v>
      </c>
      <c r="DD5" s="39">
        <f t="shared" ref="DD5" si="52">DC5+1</f>
        <v>46065</v>
      </c>
      <c r="DE5" s="38">
        <f t="shared" ref="DE5" si="53">DD5+1</f>
        <v>46066</v>
      </c>
      <c r="DF5" s="39">
        <f t="shared" ref="DF5" si="54">DE5+1</f>
        <v>46067</v>
      </c>
      <c r="DG5" s="38">
        <f t="shared" ref="DG5" si="55">DF5+1</f>
        <v>46068</v>
      </c>
      <c r="DH5" s="39">
        <f t="shared" ref="DH5" si="56">DG5+1</f>
        <v>46069</v>
      </c>
      <c r="DI5" s="38">
        <f t="shared" ref="DI5" si="57">DH5+1</f>
        <v>46070</v>
      </c>
      <c r="DJ5" s="39">
        <f t="shared" ref="DJ5" si="58">DI5+1</f>
        <v>46071</v>
      </c>
      <c r="DK5" s="38">
        <f t="shared" ref="DK5" si="59">DJ5+1</f>
        <v>46072</v>
      </c>
      <c r="DL5" s="39">
        <f t="shared" ref="DL5" si="60">DK5+1</f>
        <v>46073</v>
      </c>
      <c r="DM5" s="38">
        <f t="shared" ref="DM5" si="61">DL5+1</f>
        <v>46074</v>
      </c>
      <c r="DN5" s="39">
        <f t="shared" ref="DN5" si="62">DM5+1</f>
        <v>46075</v>
      </c>
      <c r="DO5" s="38">
        <f t="shared" ref="DO5" si="63">DN5+1</f>
        <v>46076</v>
      </c>
      <c r="DP5" s="39">
        <f t="shared" ref="DP5" si="64">DO5+1</f>
        <v>46077</v>
      </c>
      <c r="DQ5" s="38">
        <f t="shared" ref="DQ5" si="65">DP5+1</f>
        <v>46078</v>
      </c>
      <c r="DR5" s="39">
        <f t="shared" ref="DR5" si="66">DQ5+1</f>
        <v>46079</v>
      </c>
      <c r="DS5" s="38">
        <f t="shared" ref="DS5" si="67">DR5+1</f>
        <v>46080</v>
      </c>
      <c r="DT5" s="39">
        <f t="shared" ref="DT5" si="68">DS5+1</f>
        <v>46081</v>
      </c>
      <c r="DU5" s="38">
        <f t="shared" ref="DU5" si="69">DT5+1</f>
        <v>46082</v>
      </c>
      <c r="DV5" s="39">
        <f t="shared" ref="DV5" si="70">DU5+1</f>
        <v>46083</v>
      </c>
      <c r="DW5" s="38">
        <f t="shared" ref="DW5" si="71">DV5+1</f>
        <v>46084</v>
      </c>
      <c r="DX5" s="39">
        <f t="shared" ref="DX5" si="72">DW5+1</f>
        <v>46085</v>
      </c>
      <c r="DY5" s="38">
        <f t="shared" ref="DY5" si="73">DX5+1</f>
        <v>46086</v>
      </c>
      <c r="DZ5" s="39">
        <f t="shared" ref="DZ5" si="74">DY5+1</f>
        <v>46087</v>
      </c>
      <c r="EA5" s="38">
        <f t="shared" ref="EA5" si="75">DZ5+1</f>
        <v>46088</v>
      </c>
      <c r="EB5" s="38">
        <f t="shared" ref="EB5" si="76">EA5+1</f>
        <v>46089</v>
      </c>
      <c r="EC5" s="38">
        <f t="shared" ref="EC5" si="77">EB5+1</f>
        <v>46090</v>
      </c>
      <c r="ED5" s="38">
        <f t="shared" ref="ED5" si="78">EC5+1</f>
        <v>46091</v>
      </c>
      <c r="EE5" s="38">
        <f t="shared" ref="EE5" si="79">ED5+1</f>
        <v>46092</v>
      </c>
      <c r="EF5" s="38">
        <f t="shared" ref="EF5" si="80">EE5+1</f>
        <v>46093</v>
      </c>
      <c r="EG5" s="38">
        <f t="shared" ref="EG5" si="81">EF5+1</f>
        <v>46094</v>
      </c>
      <c r="EH5" s="38">
        <f t="shared" ref="EH5" si="82">EG5+1</f>
        <v>46095</v>
      </c>
      <c r="EI5" s="38">
        <f t="shared" ref="EI5" si="83">EH5+1</f>
        <v>46096</v>
      </c>
      <c r="EJ5" s="38">
        <f t="shared" ref="EJ5" si="84">EI5+1</f>
        <v>46097</v>
      </c>
      <c r="EK5" s="38">
        <f t="shared" ref="EK5" si="85">EJ5+1</f>
        <v>46098</v>
      </c>
      <c r="EL5" s="38">
        <f t="shared" ref="EL5" si="86">EK5+1</f>
        <v>46099</v>
      </c>
      <c r="EM5" s="38">
        <f t="shared" ref="EM5" si="87">EL5+1</f>
        <v>46100</v>
      </c>
      <c r="EN5" s="38">
        <f t="shared" ref="EN5" si="88">EM5+1</f>
        <v>46101</v>
      </c>
      <c r="EO5" s="38">
        <f t="shared" ref="EO5" si="89">EN5+1</f>
        <v>46102</v>
      </c>
      <c r="EP5" s="38">
        <f t="shared" ref="EP5" si="90">EO5+1</f>
        <v>46103</v>
      </c>
    </row>
    <row r="6" spans="2:146" ht="24.6" customHeight="1">
      <c r="B6" s="40">
        <v>1</v>
      </c>
      <c r="C6" s="41" t="s">
        <v>45</v>
      </c>
      <c r="D6" s="36">
        <v>2</v>
      </c>
      <c r="E6" s="42">
        <v>2</v>
      </c>
      <c r="F6" s="40"/>
      <c r="G6" s="42"/>
      <c r="H6" s="40"/>
      <c r="I6" s="42"/>
      <c r="J6" s="40"/>
      <c r="K6" s="42">
        <v>2</v>
      </c>
      <c r="L6" s="40">
        <v>2</v>
      </c>
      <c r="M6" s="42"/>
      <c r="N6" s="40">
        <v>2</v>
      </c>
      <c r="O6" s="42">
        <v>3</v>
      </c>
      <c r="P6" s="40">
        <v>2</v>
      </c>
      <c r="Q6" s="42">
        <v>3</v>
      </c>
      <c r="R6" s="40">
        <v>2</v>
      </c>
      <c r="S6" s="42">
        <v>2</v>
      </c>
      <c r="T6" s="40"/>
      <c r="U6" s="42">
        <v>4</v>
      </c>
      <c r="V6" s="40">
        <v>4</v>
      </c>
      <c r="W6" s="42">
        <v>4</v>
      </c>
      <c r="X6" s="40">
        <v>3</v>
      </c>
      <c r="Y6" s="42">
        <v>2</v>
      </c>
      <c r="Z6" s="40">
        <v>2</v>
      </c>
      <c r="AA6" s="42"/>
      <c r="AB6" s="40">
        <v>2</v>
      </c>
      <c r="AC6" s="42">
        <v>2</v>
      </c>
      <c r="AD6" s="40">
        <v>2</v>
      </c>
      <c r="AE6" s="42">
        <v>1</v>
      </c>
      <c r="AF6" s="40">
        <v>2</v>
      </c>
      <c r="AG6" s="42">
        <v>1</v>
      </c>
      <c r="AH6" s="40">
        <v>1</v>
      </c>
      <c r="AI6" s="42">
        <v>1</v>
      </c>
      <c r="AJ6" s="40"/>
      <c r="AK6" s="42"/>
      <c r="AL6" s="40"/>
      <c r="AM6" s="42"/>
      <c r="AN6" s="40"/>
      <c r="AO6" s="42"/>
      <c r="AP6" s="40"/>
      <c r="AQ6" s="42"/>
      <c r="AR6" s="40"/>
      <c r="AS6" s="42"/>
      <c r="AT6" s="40">
        <v>2</v>
      </c>
      <c r="AU6" s="42">
        <v>2</v>
      </c>
      <c r="AV6" s="40">
        <v>2</v>
      </c>
      <c r="AW6" s="42"/>
      <c r="AX6" s="40">
        <v>2</v>
      </c>
      <c r="AY6" s="42">
        <v>2</v>
      </c>
      <c r="AZ6" s="40">
        <v>3</v>
      </c>
      <c r="BA6" s="42">
        <v>4</v>
      </c>
      <c r="BB6" s="40">
        <v>4</v>
      </c>
      <c r="BC6" s="42">
        <v>3</v>
      </c>
      <c r="BD6" s="40">
        <v>4</v>
      </c>
      <c r="BE6" s="42">
        <v>4</v>
      </c>
      <c r="BF6" s="40">
        <v>2</v>
      </c>
      <c r="BG6" s="42"/>
      <c r="BH6" s="40"/>
      <c r="BI6" s="42"/>
      <c r="BJ6" s="40"/>
      <c r="BK6" s="42"/>
      <c r="BL6" s="40"/>
      <c r="BM6" s="42"/>
      <c r="BN6" s="40"/>
      <c r="BO6" s="42"/>
      <c r="BP6" s="40">
        <v>4</v>
      </c>
      <c r="BQ6" s="42">
        <v>4</v>
      </c>
      <c r="BR6" s="40">
        <v>2</v>
      </c>
      <c r="BS6" s="42"/>
      <c r="BT6" s="40"/>
      <c r="BU6" s="42"/>
      <c r="BV6" s="40"/>
      <c r="BW6" s="42"/>
      <c r="BX6" s="40"/>
      <c r="BY6" s="42"/>
      <c r="BZ6" s="40"/>
      <c r="CA6" s="42"/>
      <c r="CB6" s="40"/>
      <c r="CC6" s="42"/>
      <c r="CD6" s="40"/>
      <c r="CE6" s="42"/>
      <c r="CF6" s="40"/>
    </row>
    <row r="7" spans="2:146" ht="24.6" customHeight="1">
      <c r="B7" s="40">
        <v>2</v>
      </c>
      <c r="C7" s="41" t="s">
        <v>46</v>
      </c>
      <c r="D7" s="36">
        <v>2</v>
      </c>
      <c r="E7" s="42"/>
      <c r="F7" s="40"/>
      <c r="G7" s="42"/>
      <c r="H7" s="40"/>
      <c r="I7" s="42"/>
      <c r="J7" s="40"/>
      <c r="K7" s="42"/>
      <c r="L7" s="40"/>
      <c r="M7" s="42"/>
      <c r="N7" s="40"/>
      <c r="O7" s="42"/>
      <c r="P7" s="40"/>
      <c r="Q7" s="42"/>
      <c r="R7" s="40"/>
      <c r="S7" s="42"/>
      <c r="T7" s="40"/>
      <c r="U7" s="42"/>
      <c r="V7" s="40"/>
      <c r="W7" s="42"/>
      <c r="X7" s="40"/>
      <c r="Y7" s="42"/>
      <c r="Z7" s="40"/>
      <c r="AA7" s="42"/>
      <c r="AB7" s="40"/>
      <c r="AC7" s="42"/>
      <c r="AD7" s="40"/>
      <c r="AE7" s="42"/>
      <c r="AF7" s="40"/>
      <c r="AG7" s="42"/>
      <c r="AH7" s="40"/>
      <c r="AI7" s="42"/>
      <c r="AJ7" s="40"/>
      <c r="AK7" s="42"/>
      <c r="AL7" s="40"/>
      <c r="AM7" s="42"/>
      <c r="AN7" s="40"/>
      <c r="AO7" s="42"/>
      <c r="AP7" s="40"/>
      <c r="AQ7" s="42"/>
      <c r="AR7" s="40"/>
      <c r="AS7" s="42"/>
      <c r="AT7" s="40"/>
      <c r="AU7" s="42"/>
      <c r="AV7" s="40"/>
      <c r="AW7" s="42"/>
      <c r="AX7" s="40"/>
      <c r="AY7" s="42"/>
      <c r="AZ7" s="40"/>
      <c r="BA7" s="42"/>
      <c r="BB7" s="40"/>
      <c r="BC7" s="42"/>
      <c r="BD7" s="40"/>
      <c r="BE7" s="42"/>
      <c r="BF7" s="40">
        <v>2</v>
      </c>
      <c r="BG7" s="42">
        <v>2</v>
      </c>
      <c r="BH7" s="40">
        <v>4</v>
      </c>
      <c r="BI7" s="42">
        <v>4</v>
      </c>
      <c r="BJ7" s="40"/>
      <c r="BK7" s="42">
        <v>5</v>
      </c>
      <c r="BL7" s="40">
        <v>3</v>
      </c>
      <c r="BM7" s="42">
        <v>4</v>
      </c>
      <c r="BN7" s="40"/>
      <c r="BO7" s="42"/>
      <c r="BP7" s="40"/>
      <c r="BQ7" s="42"/>
      <c r="BR7" s="40"/>
      <c r="BS7" s="42"/>
      <c r="BT7" s="40"/>
      <c r="BU7" s="42"/>
      <c r="BV7" s="40"/>
      <c r="BW7" s="42">
        <v>3</v>
      </c>
      <c r="BX7" s="40">
        <v>3</v>
      </c>
      <c r="BY7" s="42">
        <v>4</v>
      </c>
      <c r="BZ7" s="40"/>
      <c r="CA7" s="42">
        <v>4</v>
      </c>
      <c r="CB7" s="40"/>
      <c r="CC7" s="42">
        <v>4</v>
      </c>
      <c r="CD7" s="40">
        <v>4</v>
      </c>
      <c r="CE7" s="42"/>
      <c r="CF7" s="40"/>
      <c r="CI7" s="33">
        <v>1</v>
      </c>
      <c r="CO7" s="33">
        <v>1</v>
      </c>
      <c r="CP7" s="32">
        <v>1</v>
      </c>
      <c r="CQ7" s="33">
        <v>5</v>
      </c>
      <c r="CR7" s="32">
        <v>4</v>
      </c>
      <c r="CS7" s="33">
        <v>5</v>
      </c>
      <c r="CT7" s="32">
        <v>5</v>
      </c>
      <c r="CU7" s="33">
        <v>1</v>
      </c>
      <c r="CV7" s="32">
        <v>1</v>
      </c>
      <c r="DL7" s="32">
        <v>2</v>
      </c>
      <c r="DM7" s="33">
        <v>1</v>
      </c>
      <c r="DN7" s="32">
        <v>1</v>
      </c>
      <c r="DU7" s="33">
        <v>2</v>
      </c>
      <c r="DV7" s="32">
        <v>3</v>
      </c>
      <c r="DW7" s="33">
        <v>2</v>
      </c>
      <c r="DX7" s="32">
        <v>2</v>
      </c>
      <c r="DY7" s="33">
        <v>2</v>
      </c>
      <c r="DZ7" s="32">
        <v>3</v>
      </c>
      <c r="EA7" s="33">
        <v>2</v>
      </c>
    </row>
    <row r="8" spans="2:146" ht="24.6" customHeight="1">
      <c r="B8" s="40">
        <v>3</v>
      </c>
      <c r="C8" s="41" t="s">
        <v>47</v>
      </c>
      <c r="D8" s="36">
        <v>4</v>
      </c>
      <c r="E8" s="42">
        <v>2</v>
      </c>
      <c r="F8" s="40"/>
      <c r="G8" s="42">
        <v>2</v>
      </c>
      <c r="H8" s="40">
        <v>4</v>
      </c>
      <c r="I8" s="42">
        <v>2</v>
      </c>
      <c r="J8" s="40">
        <v>5</v>
      </c>
      <c r="K8" s="42">
        <v>2</v>
      </c>
      <c r="L8" s="40">
        <v>4</v>
      </c>
      <c r="M8" s="42"/>
      <c r="N8" s="40">
        <v>3</v>
      </c>
      <c r="O8" s="42"/>
      <c r="P8" s="40">
        <v>2</v>
      </c>
      <c r="Q8" s="42">
        <v>2</v>
      </c>
      <c r="R8" s="40">
        <v>2</v>
      </c>
      <c r="S8" s="42"/>
      <c r="T8" s="40"/>
      <c r="U8" s="42"/>
      <c r="V8" s="40"/>
      <c r="W8" s="42"/>
      <c r="X8" s="40"/>
      <c r="Y8" s="42">
        <v>2</v>
      </c>
      <c r="Z8" s="40">
        <v>2</v>
      </c>
      <c r="AA8" s="42"/>
      <c r="AB8" s="40">
        <v>2</v>
      </c>
      <c r="AC8" s="42">
        <v>2</v>
      </c>
      <c r="AD8" s="40">
        <v>2</v>
      </c>
      <c r="AE8" s="42">
        <v>5</v>
      </c>
      <c r="AF8" s="40">
        <v>2</v>
      </c>
      <c r="AG8" s="42">
        <v>4</v>
      </c>
      <c r="AH8" s="40">
        <v>4</v>
      </c>
      <c r="AI8" s="42">
        <v>4</v>
      </c>
      <c r="AJ8" s="40">
        <v>4</v>
      </c>
      <c r="AK8" s="42">
        <v>2</v>
      </c>
      <c r="AL8" s="40">
        <v>2</v>
      </c>
      <c r="AM8" s="42"/>
      <c r="AN8" s="40">
        <v>1</v>
      </c>
      <c r="AO8" s="42">
        <v>2</v>
      </c>
      <c r="AP8" s="40">
        <v>2</v>
      </c>
      <c r="AQ8" s="42">
        <v>2</v>
      </c>
      <c r="AR8" s="40">
        <v>5</v>
      </c>
      <c r="AS8" s="42">
        <v>2</v>
      </c>
      <c r="AT8" s="40">
        <v>2</v>
      </c>
      <c r="AU8" s="42">
        <v>2</v>
      </c>
      <c r="AV8" s="40"/>
      <c r="AW8" s="42">
        <v>2</v>
      </c>
      <c r="AX8" s="40">
        <v>1</v>
      </c>
      <c r="AY8" s="42">
        <v>1</v>
      </c>
      <c r="AZ8" s="40"/>
      <c r="BA8" s="42"/>
      <c r="BB8" s="40"/>
      <c r="BC8" s="42"/>
      <c r="BD8" s="40"/>
      <c r="BE8" s="42"/>
      <c r="BF8" s="40"/>
      <c r="BG8" s="42"/>
      <c r="BH8" s="40">
        <v>3</v>
      </c>
      <c r="BI8" s="42"/>
      <c r="BJ8" s="40"/>
      <c r="BK8" s="42"/>
      <c r="BL8" s="40"/>
      <c r="BM8" s="42"/>
      <c r="BN8" s="40"/>
      <c r="BO8" s="42"/>
      <c r="BP8" s="40"/>
      <c r="BQ8" s="42"/>
      <c r="BR8" s="40"/>
      <c r="BS8" s="42"/>
      <c r="BT8" s="40"/>
      <c r="BU8" s="42"/>
      <c r="BV8" s="40"/>
      <c r="BW8" s="42"/>
      <c r="BX8" s="40"/>
      <c r="BY8" s="42"/>
      <c r="BZ8" s="40"/>
      <c r="CA8" s="42"/>
      <c r="CB8" s="40"/>
      <c r="CC8" s="42"/>
      <c r="CD8" s="40"/>
      <c r="CE8" s="42">
        <v>3</v>
      </c>
      <c r="CF8" s="40">
        <v>4</v>
      </c>
      <c r="CI8" s="33">
        <v>2</v>
      </c>
      <c r="CJ8" s="32">
        <v>3</v>
      </c>
      <c r="CK8" s="33">
        <v>3</v>
      </c>
      <c r="CN8" s="32">
        <v>2</v>
      </c>
      <c r="CO8" s="33">
        <v>4</v>
      </c>
      <c r="CP8" s="32">
        <v>2</v>
      </c>
      <c r="CV8" s="32">
        <v>3</v>
      </c>
      <c r="CW8" s="33">
        <v>2</v>
      </c>
      <c r="CX8" s="32">
        <v>4</v>
      </c>
      <c r="CY8" s="33">
        <v>4</v>
      </c>
      <c r="DA8" s="33">
        <v>2</v>
      </c>
      <c r="DB8" s="32">
        <v>3</v>
      </c>
      <c r="DC8" s="33">
        <v>4</v>
      </c>
      <c r="DD8" s="32">
        <v>4</v>
      </c>
      <c r="DE8" s="33">
        <v>4</v>
      </c>
      <c r="DF8" s="32">
        <v>4</v>
      </c>
      <c r="DH8" s="32">
        <v>4</v>
      </c>
      <c r="DI8" s="33">
        <v>4</v>
      </c>
      <c r="DJ8" s="32">
        <v>4</v>
      </c>
      <c r="DK8" s="33">
        <v>3</v>
      </c>
      <c r="DL8" s="32">
        <v>2</v>
      </c>
      <c r="DM8" s="33">
        <v>3</v>
      </c>
      <c r="DN8" s="32">
        <v>1</v>
      </c>
      <c r="DO8" s="33">
        <v>2</v>
      </c>
      <c r="DP8" s="32">
        <v>2</v>
      </c>
      <c r="DR8" s="32">
        <v>4</v>
      </c>
      <c r="DS8" s="33">
        <v>5</v>
      </c>
      <c r="DT8" s="32">
        <v>4</v>
      </c>
      <c r="DW8" s="33" t="s">
        <v>74</v>
      </c>
    </row>
    <row r="9" spans="2:146" ht="24.6" customHeight="1">
      <c r="B9" s="40">
        <v>4</v>
      </c>
      <c r="C9" s="41" t="s">
        <v>73</v>
      </c>
      <c r="D9" s="36"/>
      <c r="E9" s="42"/>
      <c r="F9" s="40"/>
      <c r="G9" s="42"/>
      <c r="H9" s="40"/>
      <c r="I9" s="42"/>
      <c r="J9" s="40"/>
      <c r="K9" s="42"/>
      <c r="L9" s="40"/>
      <c r="M9" s="42"/>
      <c r="N9" s="40"/>
      <c r="O9" s="42"/>
      <c r="P9" s="40"/>
      <c r="Q9" s="42"/>
      <c r="R9" s="40"/>
      <c r="S9" s="42"/>
      <c r="T9" s="40"/>
      <c r="U9" s="42"/>
      <c r="V9" s="40"/>
      <c r="W9" s="42"/>
      <c r="X9" s="40"/>
      <c r="Y9" s="42"/>
      <c r="Z9" s="40"/>
      <c r="AA9" s="42"/>
      <c r="AB9" s="40"/>
      <c r="AC9" s="42"/>
      <c r="AD9" s="40"/>
      <c r="AE9" s="42"/>
      <c r="AF9" s="40"/>
      <c r="AG9" s="42"/>
      <c r="AH9" s="40"/>
      <c r="AI9" s="42"/>
      <c r="AJ9" s="40"/>
      <c r="AK9" s="42">
        <v>3</v>
      </c>
      <c r="AL9" s="40">
        <v>2</v>
      </c>
      <c r="AM9" s="42">
        <v>1</v>
      </c>
      <c r="AN9" s="40">
        <v>2</v>
      </c>
      <c r="AO9" s="42">
        <v>1</v>
      </c>
      <c r="AP9" s="40">
        <v>2</v>
      </c>
      <c r="AQ9" s="42"/>
      <c r="AR9" s="40"/>
      <c r="AS9" s="42"/>
      <c r="AT9" s="40"/>
      <c r="AU9" s="42"/>
      <c r="AV9" s="40"/>
      <c r="AW9" s="42"/>
      <c r="AX9" s="40"/>
      <c r="AY9" s="42"/>
      <c r="AZ9" s="40"/>
      <c r="BA9" s="42"/>
      <c r="BB9" s="40"/>
      <c r="BC9" s="42"/>
      <c r="BD9" s="40"/>
      <c r="BE9" s="42"/>
      <c r="BF9" s="40"/>
      <c r="BG9" s="42"/>
      <c r="BH9" s="40"/>
      <c r="BI9" s="42"/>
      <c r="BJ9" s="40"/>
      <c r="BK9" s="42"/>
      <c r="BL9" s="40"/>
      <c r="BM9" s="42"/>
      <c r="BN9" s="40"/>
      <c r="BO9" s="42"/>
      <c r="BP9" s="40"/>
      <c r="BQ9" s="42"/>
      <c r="BR9" s="40"/>
      <c r="BS9" s="42"/>
      <c r="BT9" s="40"/>
      <c r="BU9" s="42"/>
      <c r="BV9" s="40"/>
      <c r="BW9" s="42"/>
      <c r="BX9" s="40"/>
      <c r="BY9" s="42"/>
      <c r="BZ9" s="40"/>
      <c r="CA9" s="42"/>
      <c r="CB9" s="40"/>
      <c r="CC9" s="42"/>
      <c r="CD9" s="40"/>
      <c r="CE9" s="42"/>
      <c r="CF9" s="40"/>
      <c r="CI9" s="33">
        <v>2</v>
      </c>
      <c r="CJ9" s="32">
        <v>2</v>
      </c>
      <c r="CK9" s="33">
        <v>2</v>
      </c>
      <c r="CN9" s="32">
        <v>2</v>
      </c>
      <c r="DK9" s="33">
        <v>1</v>
      </c>
      <c r="DM9" s="33">
        <v>1</v>
      </c>
      <c r="DN9" s="32">
        <v>1</v>
      </c>
      <c r="DO9" s="33">
        <v>1</v>
      </c>
      <c r="DP9" s="32">
        <v>1</v>
      </c>
      <c r="DY9" s="33">
        <v>2</v>
      </c>
      <c r="DZ9" s="32">
        <v>2</v>
      </c>
      <c r="EB9" s="32">
        <v>2</v>
      </c>
    </row>
    <row r="10" spans="2:146" ht="24.6" customHeight="1">
      <c r="B10" s="40">
        <v>5</v>
      </c>
      <c r="C10" s="41" t="s">
        <v>48</v>
      </c>
      <c r="D10" s="36">
        <v>2</v>
      </c>
      <c r="E10" s="42"/>
      <c r="F10" s="40"/>
      <c r="G10" s="42"/>
      <c r="H10" s="40"/>
      <c r="I10" s="42"/>
      <c r="J10" s="40"/>
      <c r="K10" s="42"/>
      <c r="L10" s="40"/>
      <c r="M10" s="42"/>
      <c r="N10" s="40"/>
      <c r="O10" s="42"/>
      <c r="P10" s="40"/>
      <c r="Q10" s="42"/>
      <c r="R10" s="40"/>
      <c r="S10" s="42"/>
      <c r="T10" s="40"/>
      <c r="U10" s="42"/>
      <c r="V10" s="40"/>
      <c r="W10" s="42"/>
      <c r="X10" s="40"/>
      <c r="Y10" s="42"/>
      <c r="Z10" s="40"/>
      <c r="AA10" s="42"/>
      <c r="AB10" s="40"/>
      <c r="AC10" s="42"/>
      <c r="AD10" s="40"/>
      <c r="AE10" s="42"/>
      <c r="AF10" s="40"/>
      <c r="AG10" s="42">
        <v>1</v>
      </c>
      <c r="AH10" s="40"/>
      <c r="AI10" s="42">
        <v>1</v>
      </c>
      <c r="AJ10" s="40"/>
      <c r="AK10" s="42"/>
      <c r="AL10" s="40"/>
      <c r="AM10" s="42"/>
      <c r="AN10" s="40"/>
      <c r="AO10" s="42"/>
      <c r="AP10" s="40"/>
      <c r="AQ10" s="42"/>
      <c r="AR10" s="40"/>
      <c r="AS10" s="42">
        <v>1</v>
      </c>
      <c r="AT10" s="40"/>
      <c r="AU10" s="42"/>
      <c r="AV10" s="40"/>
      <c r="AW10" s="42"/>
      <c r="AX10" s="40"/>
      <c r="AY10" s="42"/>
      <c r="AZ10" s="40"/>
      <c r="BA10" s="42">
        <v>1</v>
      </c>
      <c r="BB10" s="40">
        <v>1</v>
      </c>
      <c r="BC10" s="42">
        <v>1</v>
      </c>
      <c r="BD10" s="40">
        <v>2</v>
      </c>
      <c r="BE10" s="42">
        <v>1</v>
      </c>
      <c r="BF10" s="40">
        <v>1</v>
      </c>
      <c r="BG10" s="42">
        <v>3</v>
      </c>
      <c r="BH10" s="40"/>
      <c r="BI10" s="42">
        <v>2</v>
      </c>
      <c r="BJ10" s="40"/>
      <c r="BK10" s="42">
        <v>2</v>
      </c>
      <c r="BL10" s="40">
        <v>2</v>
      </c>
      <c r="BM10" s="42">
        <v>2</v>
      </c>
      <c r="BN10" s="40"/>
      <c r="BO10" s="42"/>
      <c r="BP10" s="40"/>
      <c r="BQ10" s="42"/>
      <c r="BR10" s="40"/>
      <c r="BS10" s="42">
        <v>2</v>
      </c>
      <c r="BT10" s="40"/>
      <c r="BU10" s="42"/>
      <c r="BV10" s="40"/>
      <c r="BW10" s="42">
        <v>1</v>
      </c>
      <c r="BX10" s="40"/>
      <c r="BY10" s="42"/>
      <c r="BZ10" s="40"/>
      <c r="CA10" s="42"/>
      <c r="CB10" s="40"/>
      <c r="CC10" s="42"/>
      <c r="CD10" s="40">
        <v>1</v>
      </c>
      <c r="CE10" s="42"/>
      <c r="CF10" s="40"/>
      <c r="CY10" s="33">
        <v>1</v>
      </c>
      <c r="DA10" s="33">
        <v>3</v>
      </c>
      <c r="DB10" s="32">
        <v>2</v>
      </c>
      <c r="DC10" s="33">
        <v>1</v>
      </c>
      <c r="DK10" s="33">
        <v>1</v>
      </c>
      <c r="DL10" s="32">
        <v>1</v>
      </c>
      <c r="DM10" s="33">
        <v>1</v>
      </c>
      <c r="DV10" s="32">
        <v>2</v>
      </c>
      <c r="DW10" s="33">
        <v>2</v>
      </c>
      <c r="DX10" s="32">
        <v>2</v>
      </c>
      <c r="EC10" s="32">
        <v>3</v>
      </c>
    </row>
    <row r="11" spans="2:146" ht="24.6" customHeight="1">
      <c r="B11" s="40">
        <v>6</v>
      </c>
      <c r="C11" s="41" t="s">
        <v>49</v>
      </c>
      <c r="D11" s="36">
        <v>2</v>
      </c>
      <c r="E11" s="42"/>
      <c r="F11" s="40"/>
      <c r="G11" s="42"/>
      <c r="H11" s="40"/>
      <c r="I11" s="42"/>
      <c r="J11" s="40"/>
      <c r="K11" s="42"/>
      <c r="L11" s="40"/>
      <c r="M11" s="42"/>
      <c r="N11" s="40"/>
      <c r="O11" s="42"/>
      <c r="P11" s="40"/>
      <c r="Q11" s="42"/>
      <c r="R11" s="40">
        <v>2</v>
      </c>
      <c r="S11" s="42">
        <v>2</v>
      </c>
      <c r="T11" s="40"/>
      <c r="U11" s="42"/>
      <c r="V11" s="40"/>
      <c r="W11" s="42"/>
      <c r="X11" s="40"/>
      <c r="Y11" s="42"/>
      <c r="Z11" s="40"/>
      <c r="AA11" s="42"/>
      <c r="AB11" s="40"/>
      <c r="AC11" s="42"/>
      <c r="AD11" s="40"/>
      <c r="AE11" s="42"/>
      <c r="AF11" s="40"/>
      <c r="AG11" s="42"/>
      <c r="AH11" s="40"/>
      <c r="AI11" s="42"/>
      <c r="AJ11" s="40"/>
      <c r="AK11" s="42"/>
      <c r="AL11" s="40"/>
      <c r="AM11" s="42"/>
      <c r="AN11" s="40"/>
      <c r="AO11" s="42"/>
      <c r="AP11" s="40"/>
      <c r="AQ11" s="42"/>
      <c r="AR11" s="40"/>
      <c r="AS11" s="42"/>
      <c r="AT11" s="40"/>
      <c r="AU11" s="42"/>
      <c r="AV11" s="40"/>
      <c r="AW11" s="42"/>
      <c r="AX11" s="40"/>
      <c r="AY11" s="42"/>
      <c r="AZ11" s="40"/>
      <c r="BA11" s="42"/>
      <c r="BB11" s="40"/>
      <c r="BC11" s="42"/>
      <c r="BD11" s="40"/>
      <c r="BE11" s="42"/>
      <c r="BF11" s="40"/>
      <c r="BG11" s="42"/>
      <c r="BH11" s="40"/>
      <c r="BI11" s="42"/>
      <c r="BJ11" s="40"/>
      <c r="BK11" s="42"/>
      <c r="BL11" s="40"/>
      <c r="BM11" s="42"/>
      <c r="BN11" s="40"/>
      <c r="BO11" s="42"/>
      <c r="BP11" s="40"/>
      <c r="BQ11" s="42"/>
      <c r="BR11" s="40"/>
      <c r="BS11" s="42"/>
      <c r="BT11" s="40"/>
      <c r="BU11" s="42"/>
      <c r="BV11" s="40"/>
      <c r="BW11" s="42"/>
      <c r="BX11" s="40"/>
      <c r="BY11" s="42"/>
      <c r="BZ11" s="40"/>
      <c r="CA11" s="42"/>
      <c r="CB11" s="40"/>
      <c r="CC11" s="42"/>
      <c r="CD11" s="40"/>
      <c r="CE11" s="42"/>
      <c r="CF11" s="40"/>
    </row>
    <row r="12" spans="2:146" ht="24.6" customHeight="1">
      <c r="B12" s="40">
        <v>7</v>
      </c>
      <c r="C12" s="41" t="s">
        <v>27</v>
      </c>
      <c r="D12" s="36">
        <v>2</v>
      </c>
      <c r="E12" s="42"/>
      <c r="F12" s="40"/>
      <c r="G12" s="42"/>
      <c r="H12" s="40"/>
      <c r="I12" s="42"/>
      <c r="J12" s="40"/>
      <c r="K12" s="42"/>
      <c r="L12" s="40"/>
      <c r="M12" s="42"/>
      <c r="N12" s="40"/>
      <c r="O12" s="42"/>
      <c r="P12" s="40"/>
      <c r="Q12" s="42"/>
      <c r="R12" s="40"/>
      <c r="S12" s="42"/>
      <c r="T12" s="40"/>
      <c r="U12" s="42"/>
      <c r="V12" s="40"/>
      <c r="W12" s="42"/>
      <c r="X12" s="40"/>
      <c r="Y12" s="42"/>
      <c r="Z12" s="40"/>
      <c r="AA12" s="42"/>
      <c r="AB12" s="40"/>
      <c r="AC12" s="42"/>
      <c r="AD12" s="40"/>
      <c r="AE12" s="42"/>
      <c r="AF12" s="40"/>
      <c r="AG12" s="42"/>
      <c r="AH12" s="40"/>
      <c r="AI12" s="42"/>
      <c r="AJ12" s="40"/>
      <c r="AK12" s="42"/>
      <c r="AL12" s="40"/>
      <c r="AM12" s="42"/>
      <c r="AN12" s="40"/>
      <c r="AO12" s="42"/>
      <c r="AP12" s="40"/>
      <c r="AQ12" s="42"/>
      <c r="AR12" s="40"/>
      <c r="AS12" s="42"/>
      <c r="AT12" s="40"/>
      <c r="AU12" s="42"/>
      <c r="AV12" s="40"/>
      <c r="AW12" s="42"/>
      <c r="AX12" s="40"/>
      <c r="AY12" s="42">
        <v>2</v>
      </c>
      <c r="AZ12" s="40"/>
      <c r="BA12" s="42"/>
      <c r="BB12" s="40"/>
      <c r="BC12" s="42"/>
      <c r="BD12" s="40"/>
      <c r="BE12" s="42"/>
      <c r="BF12" s="40"/>
      <c r="BG12" s="42"/>
      <c r="BH12" s="40"/>
      <c r="BI12" s="42"/>
      <c r="BJ12" s="40"/>
      <c r="BK12" s="42"/>
      <c r="BL12" s="40"/>
      <c r="BM12" s="42"/>
      <c r="BN12" s="40"/>
      <c r="BO12" s="42"/>
      <c r="BP12" s="40"/>
      <c r="BQ12" s="42"/>
      <c r="BR12" s="40"/>
      <c r="BS12" s="42"/>
      <c r="BT12" s="40"/>
      <c r="BU12" s="42"/>
      <c r="BV12" s="40"/>
      <c r="BW12" s="42"/>
      <c r="BX12" s="40"/>
      <c r="BY12" s="42"/>
      <c r="BZ12" s="40"/>
      <c r="CA12" s="42"/>
      <c r="CB12" s="40"/>
      <c r="CC12" s="42"/>
      <c r="CD12" s="40"/>
      <c r="CE12" s="42"/>
      <c r="CF12" s="40"/>
      <c r="CV12" s="32">
        <v>2</v>
      </c>
    </row>
    <row r="13" spans="2:146" ht="24.6" customHeight="1">
      <c r="B13" s="40">
        <v>8</v>
      </c>
      <c r="C13" s="43" t="s">
        <v>51</v>
      </c>
      <c r="D13" s="44">
        <v>1</v>
      </c>
      <c r="E13" s="42"/>
      <c r="F13" s="40"/>
      <c r="G13" s="42">
        <v>2</v>
      </c>
      <c r="H13" s="40"/>
      <c r="I13" s="42"/>
      <c r="J13" s="40"/>
      <c r="K13" s="42"/>
      <c r="L13" s="40"/>
      <c r="M13" s="42"/>
      <c r="N13" s="40"/>
      <c r="O13" s="42"/>
      <c r="P13" s="40"/>
      <c r="Q13" s="42"/>
      <c r="R13" s="40"/>
      <c r="S13" s="42"/>
      <c r="T13" s="40"/>
      <c r="U13" s="42"/>
      <c r="V13" s="40"/>
      <c r="W13" s="42" t="s">
        <v>74</v>
      </c>
      <c r="X13" s="40"/>
      <c r="Y13" s="42"/>
      <c r="Z13" s="40"/>
      <c r="AA13" s="42"/>
      <c r="AB13" s="40">
        <v>1</v>
      </c>
      <c r="AC13" s="42"/>
      <c r="AD13" s="40"/>
      <c r="AE13" s="42"/>
      <c r="AF13" s="40">
        <v>2</v>
      </c>
      <c r="AG13" s="42"/>
      <c r="AH13" s="40"/>
      <c r="AI13" s="42"/>
      <c r="AJ13" s="40"/>
      <c r="AK13" s="42">
        <v>1</v>
      </c>
      <c r="AL13" s="40"/>
      <c r="AM13" s="42"/>
      <c r="AN13" s="40"/>
      <c r="AO13" s="42"/>
      <c r="AP13" s="40"/>
      <c r="AQ13" s="42"/>
      <c r="AR13" s="40"/>
      <c r="AS13" s="42"/>
      <c r="AT13" s="40"/>
      <c r="AU13" s="42"/>
      <c r="AV13" s="40"/>
      <c r="AW13" s="42"/>
      <c r="AX13" s="40"/>
      <c r="AY13" s="42"/>
      <c r="AZ13" s="40"/>
      <c r="BA13" s="42"/>
      <c r="BB13" s="40"/>
      <c r="BC13" s="42"/>
      <c r="BD13" s="40"/>
      <c r="BE13" s="42"/>
      <c r="BF13" s="40"/>
      <c r="BG13" s="42"/>
      <c r="BH13" s="40"/>
      <c r="BI13" s="42"/>
      <c r="BJ13" s="40"/>
      <c r="BK13" s="42"/>
      <c r="BL13" s="40"/>
      <c r="BM13" s="42"/>
      <c r="BN13" s="40"/>
      <c r="BO13" s="42"/>
      <c r="BP13" s="40"/>
      <c r="BQ13" s="42"/>
      <c r="BR13" s="40"/>
      <c r="BS13" s="42"/>
      <c r="BT13" s="40"/>
      <c r="BU13" s="42"/>
      <c r="BV13" s="40"/>
      <c r="BW13" s="42"/>
      <c r="BX13" s="40"/>
      <c r="BY13" s="42"/>
      <c r="BZ13" s="40"/>
      <c r="CA13" s="42"/>
      <c r="CB13" s="40"/>
      <c r="CC13" s="42"/>
      <c r="CD13" s="40"/>
      <c r="CE13" s="42"/>
      <c r="CF13" s="40"/>
      <c r="DJ13" s="32">
        <v>2</v>
      </c>
    </row>
    <row r="14" spans="2:146" ht="24.6" customHeight="1">
      <c r="B14" s="40">
        <v>9</v>
      </c>
      <c r="C14" s="41" t="s">
        <v>53</v>
      </c>
      <c r="D14" s="36">
        <v>2</v>
      </c>
      <c r="E14" s="42"/>
      <c r="F14" s="40"/>
      <c r="G14" s="42"/>
      <c r="H14" s="40"/>
      <c r="I14" s="42"/>
      <c r="J14" s="40"/>
      <c r="K14" s="42"/>
      <c r="L14" s="40"/>
      <c r="M14" s="42"/>
      <c r="N14" s="40"/>
      <c r="O14" s="42"/>
      <c r="P14" s="40"/>
      <c r="Q14" s="42"/>
      <c r="R14" s="40"/>
      <c r="S14" s="42"/>
      <c r="T14" s="40"/>
      <c r="U14" s="42"/>
      <c r="V14" s="40"/>
      <c r="W14" s="42"/>
      <c r="X14" s="40"/>
      <c r="Y14" s="42"/>
      <c r="Z14" s="40"/>
      <c r="AA14" s="42"/>
      <c r="AB14" s="40"/>
      <c r="AC14" s="42"/>
      <c r="AD14" s="40"/>
      <c r="AE14" s="42"/>
      <c r="AF14" s="40"/>
      <c r="AG14" s="42"/>
      <c r="AH14" s="40"/>
      <c r="AI14" s="42"/>
      <c r="AJ14" s="40"/>
      <c r="AK14" s="42"/>
      <c r="AL14" s="40"/>
      <c r="AM14" s="42"/>
      <c r="AN14" s="40"/>
      <c r="AO14" s="42"/>
      <c r="AP14" s="40"/>
      <c r="AQ14" s="42"/>
      <c r="AR14" s="40"/>
      <c r="AS14" s="42"/>
      <c r="AT14" s="40"/>
      <c r="AU14" s="42"/>
      <c r="AV14" s="40"/>
      <c r="AW14" s="42"/>
      <c r="AX14" s="40"/>
      <c r="AY14" s="42"/>
      <c r="AZ14" s="40"/>
      <c r="BA14" s="42"/>
      <c r="BB14" s="40"/>
      <c r="BC14" s="42"/>
      <c r="BD14" s="40"/>
      <c r="BE14" s="42"/>
      <c r="BF14" s="40"/>
      <c r="BG14" s="42"/>
      <c r="BH14" s="40"/>
      <c r="BI14" s="42"/>
      <c r="BJ14" s="40"/>
      <c r="BK14" s="42"/>
      <c r="BL14" s="40"/>
      <c r="BM14" s="42"/>
      <c r="BN14" s="40"/>
      <c r="BO14" s="42"/>
      <c r="BP14" s="40"/>
      <c r="BQ14" s="42"/>
      <c r="BR14" s="40"/>
      <c r="BS14" s="42"/>
      <c r="BT14" s="40"/>
      <c r="BU14" s="42"/>
      <c r="BV14" s="40"/>
      <c r="BW14" s="42"/>
      <c r="BX14" s="40"/>
      <c r="BY14" s="42"/>
      <c r="BZ14" s="40"/>
      <c r="CA14" s="42"/>
      <c r="CB14" s="40"/>
      <c r="CC14" s="42"/>
      <c r="CD14" s="40"/>
      <c r="CE14" s="42"/>
      <c r="CF14" s="40"/>
    </row>
    <row r="15" spans="2:146" ht="24.6" customHeight="1">
      <c r="B15" s="40"/>
      <c r="C15" s="43" t="s">
        <v>54</v>
      </c>
      <c r="D15" s="44" t="s">
        <v>22</v>
      </c>
      <c r="E15" s="42">
        <v>1</v>
      </c>
      <c r="F15" s="40">
        <v>1</v>
      </c>
      <c r="G15" s="42"/>
      <c r="H15" s="40"/>
      <c r="I15" s="42"/>
      <c r="J15" s="40"/>
      <c r="K15" s="42"/>
      <c r="L15" s="40">
        <v>1</v>
      </c>
      <c r="M15" s="42"/>
      <c r="N15" s="40"/>
      <c r="O15" s="42"/>
      <c r="P15" s="40"/>
      <c r="Q15" s="42"/>
      <c r="R15" s="40"/>
      <c r="S15" s="42">
        <v>1</v>
      </c>
      <c r="T15" s="40"/>
      <c r="U15" s="42"/>
      <c r="V15" s="40"/>
      <c r="W15" s="42"/>
      <c r="X15" s="40"/>
      <c r="Y15" s="42"/>
      <c r="Z15" s="40">
        <v>1</v>
      </c>
      <c r="AA15" s="42"/>
      <c r="AB15" s="40">
        <v>1</v>
      </c>
      <c r="AC15" s="42">
        <v>1</v>
      </c>
      <c r="AD15" s="40"/>
      <c r="AE15" s="42">
        <v>1</v>
      </c>
      <c r="AF15" s="40"/>
      <c r="AG15" s="42">
        <v>1</v>
      </c>
      <c r="AH15" s="40"/>
      <c r="AI15" s="42"/>
      <c r="AJ15" s="40"/>
      <c r="AK15" s="42"/>
      <c r="AL15" s="40"/>
      <c r="AM15" s="42"/>
      <c r="AN15" s="40">
        <v>1</v>
      </c>
      <c r="AO15" s="42"/>
      <c r="AP15" s="40"/>
      <c r="AQ15" s="42">
        <v>1</v>
      </c>
      <c r="AR15" s="40"/>
      <c r="AS15" s="42"/>
      <c r="AT15" s="40">
        <v>1</v>
      </c>
      <c r="AU15" s="42"/>
      <c r="AV15" s="40"/>
      <c r="AW15" s="42"/>
      <c r="AX15" s="40"/>
      <c r="AY15" s="42"/>
      <c r="AZ15" s="40"/>
      <c r="BA15" s="42"/>
      <c r="BB15" s="40"/>
      <c r="BC15" s="42"/>
      <c r="BD15" s="40"/>
      <c r="BE15" s="42"/>
      <c r="BF15" s="40"/>
      <c r="BG15" s="42"/>
      <c r="BH15" s="40"/>
      <c r="BI15" s="42"/>
      <c r="BJ15" s="40">
        <v>1</v>
      </c>
      <c r="BK15" s="42"/>
      <c r="BL15" s="40"/>
      <c r="BM15" s="42"/>
      <c r="BN15" s="40"/>
      <c r="BO15" s="42">
        <v>1</v>
      </c>
      <c r="BP15" s="40"/>
      <c r="BQ15" s="42"/>
      <c r="BR15" s="40"/>
      <c r="BS15" s="42"/>
      <c r="BT15" s="40"/>
      <c r="BU15" s="42"/>
      <c r="BV15" s="40"/>
      <c r="BW15" s="42"/>
      <c r="BX15" s="40"/>
      <c r="BY15" s="42"/>
      <c r="BZ15" s="40"/>
      <c r="CA15" s="42"/>
      <c r="CB15" s="40"/>
      <c r="CC15" s="42"/>
      <c r="CD15" s="40"/>
      <c r="CE15" s="42"/>
      <c r="CF15" s="40"/>
    </row>
    <row r="16" spans="2:146" ht="24.6" customHeight="1">
      <c r="B16" s="40"/>
      <c r="C16" s="43" t="s">
        <v>55</v>
      </c>
      <c r="D16" s="44" t="s">
        <v>22</v>
      </c>
      <c r="E16" s="42"/>
      <c r="F16" s="40"/>
      <c r="G16" s="42"/>
      <c r="H16" s="40"/>
      <c r="I16" s="42"/>
      <c r="J16" s="40"/>
      <c r="K16" s="42"/>
      <c r="L16" s="40"/>
      <c r="M16" s="42"/>
      <c r="N16" s="40"/>
      <c r="O16" s="42"/>
      <c r="P16" s="40"/>
      <c r="Q16" s="42"/>
      <c r="R16" s="40"/>
      <c r="S16" s="42"/>
      <c r="T16" s="40"/>
      <c r="U16" s="42"/>
      <c r="V16" s="40"/>
      <c r="W16" s="42"/>
      <c r="X16" s="40"/>
      <c r="Y16" s="42"/>
      <c r="Z16" s="40"/>
      <c r="AA16" s="42"/>
      <c r="AB16" s="40"/>
      <c r="AC16" s="42"/>
      <c r="AD16" s="40"/>
      <c r="AE16" s="42"/>
      <c r="AF16" s="40"/>
      <c r="AG16" s="42"/>
      <c r="AH16" s="40"/>
      <c r="AI16" s="42"/>
      <c r="AJ16" s="40"/>
      <c r="AK16" s="42"/>
      <c r="AL16" s="40"/>
      <c r="AM16" s="42"/>
      <c r="AN16" s="40"/>
      <c r="AO16" s="42"/>
      <c r="AP16" s="40"/>
      <c r="AQ16" s="42"/>
      <c r="AR16" s="40"/>
      <c r="AS16" s="42"/>
      <c r="AT16" s="40"/>
      <c r="AU16" s="42"/>
      <c r="AV16" s="40"/>
      <c r="AW16" s="42"/>
      <c r="AX16" s="40"/>
      <c r="AY16" s="42"/>
      <c r="AZ16" s="40"/>
      <c r="BA16" s="42"/>
      <c r="BB16" s="40"/>
      <c r="BC16" s="42"/>
      <c r="BD16" s="40"/>
      <c r="BE16" s="42"/>
      <c r="BF16" s="40"/>
      <c r="BG16" s="42"/>
      <c r="BH16" s="40"/>
      <c r="BI16" s="42"/>
      <c r="BJ16" s="40"/>
      <c r="BK16" s="42"/>
      <c r="BL16" s="40"/>
      <c r="BM16" s="42"/>
      <c r="BN16" s="40"/>
      <c r="BO16" s="42"/>
      <c r="BP16" s="40"/>
      <c r="BQ16" s="42"/>
      <c r="BR16" s="40"/>
      <c r="BS16" s="42"/>
      <c r="BT16" s="40"/>
      <c r="BU16" s="42"/>
      <c r="BV16" s="40"/>
      <c r="BW16" s="42"/>
      <c r="BX16" s="40"/>
      <c r="BY16" s="42"/>
      <c r="BZ16" s="40"/>
      <c r="CA16" s="42"/>
      <c r="CB16" s="40"/>
      <c r="CC16" s="42"/>
      <c r="CD16" s="40"/>
      <c r="CE16" s="42"/>
      <c r="CF16" s="40"/>
      <c r="CW16" s="33">
        <v>2</v>
      </c>
      <c r="DH16" s="32">
        <v>2</v>
      </c>
    </row>
    <row r="17" spans="2:137" ht="24.6" customHeight="1">
      <c r="B17" s="40"/>
      <c r="C17" s="41" t="s">
        <v>56</v>
      </c>
      <c r="D17" s="36" t="s">
        <v>22</v>
      </c>
      <c r="E17" s="42"/>
      <c r="F17" s="40"/>
      <c r="G17" s="42"/>
      <c r="H17" s="40"/>
      <c r="I17" s="42"/>
      <c r="J17" s="40"/>
      <c r="K17" s="42"/>
      <c r="L17" s="40"/>
      <c r="M17" s="42"/>
      <c r="N17" s="40"/>
      <c r="O17" s="42"/>
      <c r="P17" s="40"/>
      <c r="Q17" s="42"/>
      <c r="R17" s="40"/>
      <c r="S17" s="42"/>
      <c r="T17" s="40"/>
      <c r="U17" s="42"/>
      <c r="V17" s="40"/>
      <c r="W17" s="42"/>
      <c r="X17" s="40"/>
      <c r="Y17" s="42"/>
      <c r="Z17" s="40"/>
      <c r="AA17" s="42"/>
      <c r="AB17" s="40"/>
      <c r="AC17" s="42"/>
      <c r="AD17" s="40"/>
      <c r="AE17" s="42"/>
      <c r="AF17" s="40"/>
      <c r="AG17" s="42"/>
      <c r="AH17" s="40"/>
      <c r="AI17" s="42"/>
      <c r="AJ17" s="40"/>
      <c r="AK17" s="42"/>
      <c r="AL17" s="40"/>
      <c r="AM17" s="42"/>
      <c r="AN17" s="40"/>
      <c r="AO17" s="42"/>
      <c r="AP17" s="40"/>
      <c r="AQ17" s="42"/>
      <c r="AR17" s="40"/>
      <c r="AS17" s="42"/>
      <c r="AT17" s="40"/>
      <c r="AU17" s="42"/>
      <c r="AV17" s="40"/>
      <c r="AW17" s="42"/>
      <c r="AX17" s="40"/>
      <c r="AY17" s="42"/>
      <c r="AZ17" s="40"/>
      <c r="BA17" s="42"/>
      <c r="BB17" s="40"/>
      <c r="BC17" s="42"/>
      <c r="BD17" s="40"/>
      <c r="BE17" s="42"/>
      <c r="BF17" s="40"/>
      <c r="BG17" s="42"/>
      <c r="BH17" s="40"/>
      <c r="BI17" s="42"/>
      <c r="BJ17" s="40"/>
      <c r="BK17" s="42"/>
      <c r="BL17" s="40"/>
      <c r="BM17" s="42"/>
      <c r="BN17" s="40"/>
      <c r="BO17" s="42"/>
      <c r="BP17" s="40"/>
      <c r="BQ17" s="42"/>
      <c r="BR17" s="40"/>
      <c r="BS17" s="42"/>
      <c r="BT17" s="40"/>
      <c r="BU17" s="42"/>
      <c r="BV17" s="40"/>
      <c r="BW17" s="42"/>
      <c r="BX17" s="40"/>
      <c r="BY17" s="42"/>
      <c r="BZ17" s="40"/>
      <c r="CA17" s="42"/>
      <c r="CB17" s="40"/>
      <c r="CC17" s="42"/>
      <c r="CD17" s="40"/>
      <c r="CE17" s="42"/>
      <c r="CF17" s="40"/>
      <c r="EA17" s="33">
        <v>2</v>
      </c>
      <c r="EB17" s="32">
        <v>2</v>
      </c>
      <c r="EC17" s="32">
        <v>2</v>
      </c>
    </row>
    <row r="18" spans="2:137" ht="21" customHeight="1">
      <c r="B18" s="40"/>
      <c r="C18" s="41" t="s">
        <v>75</v>
      </c>
      <c r="D18" s="36"/>
      <c r="E18" s="42"/>
      <c r="F18" s="40"/>
      <c r="G18" s="42"/>
      <c r="H18" s="40"/>
      <c r="I18" s="42"/>
      <c r="J18" s="40"/>
      <c r="K18" s="42"/>
      <c r="L18" s="40"/>
      <c r="M18" s="42"/>
      <c r="N18" s="40"/>
      <c r="O18" s="42"/>
      <c r="P18" s="40"/>
      <c r="Q18" s="42"/>
      <c r="R18" s="40"/>
      <c r="S18" s="42"/>
      <c r="T18" s="40"/>
      <c r="U18" s="42"/>
      <c r="V18" s="40"/>
      <c r="W18" s="42"/>
      <c r="X18" s="40"/>
      <c r="Y18" s="42"/>
      <c r="Z18" s="40"/>
      <c r="AA18" s="42"/>
      <c r="AB18" s="40"/>
      <c r="AC18" s="42"/>
      <c r="AD18" s="40"/>
      <c r="AE18" s="42"/>
      <c r="AF18" s="40"/>
      <c r="AG18" s="42"/>
      <c r="AH18" s="40"/>
      <c r="AI18" s="42"/>
      <c r="AJ18" s="40">
        <v>1</v>
      </c>
      <c r="AK18" s="42"/>
      <c r="AL18" s="40"/>
      <c r="AM18" s="42"/>
      <c r="AN18" s="40"/>
      <c r="AO18" s="42"/>
      <c r="AP18" s="40"/>
      <c r="AQ18" s="42">
        <v>1</v>
      </c>
      <c r="AR18" s="40"/>
      <c r="AS18" s="42">
        <v>2</v>
      </c>
      <c r="AT18" s="40"/>
      <c r="AU18" s="42"/>
      <c r="AV18" s="40"/>
      <c r="AW18" s="42">
        <v>2</v>
      </c>
      <c r="AX18" s="40"/>
      <c r="AY18" s="42">
        <v>2</v>
      </c>
      <c r="AZ18" s="40">
        <v>2</v>
      </c>
      <c r="BA18" s="42"/>
      <c r="BB18" s="40"/>
      <c r="BC18" s="42"/>
      <c r="BD18" s="40"/>
      <c r="BE18" s="42"/>
      <c r="BF18" s="40"/>
      <c r="BG18" s="42"/>
      <c r="BH18" s="40"/>
      <c r="BI18" s="42"/>
      <c r="BJ18" s="40"/>
      <c r="BK18" s="42"/>
      <c r="BL18" s="40"/>
      <c r="BM18" s="42"/>
      <c r="BN18" s="40"/>
      <c r="BO18" s="42"/>
      <c r="BP18" s="40"/>
      <c r="BQ18" s="42"/>
      <c r="BR18" s="40"/>
      <c r="BS18" s="42"/>
      <c r="BT18" s="40"/>
      <c r="BU18" s="42"/>
      <c r="BV18" s="40"/>
      <c r="BW18" s="42"/>
      <c r="BX18" s="40"/>
      <c r="BY18" s="42"/>
      <c r="BZ18" s="40"/>
      <c r="CA18" s="42"/>
      <c r="CB18" s="40"/>
      <c r="CC18" s="42"/>
      <c r="CD18" s="40"/>
      <c r="CE18" s="42"/>
      <c r="CF18" s="40"/>
      <c r="CP18" s="32">
        <v>1</v>
      </c>
    </row>
    <row r="19" spans="2:137" ht="21" customHeight="1">
      <c r="B19" s="40"/>
      <c r="C19" s="41" t="s">
        <v>82</v>
      </c>
      <c r="D19" s="36"/>
      <c r="E19" s="42"/>
      <c r="F19" s="40"/>
      <c r="G19" s="42"/>
      <c r="H19" s="40"/>
      <c r="I19" s="42"/>
      <c r="J19" s="40"/>
      <c r="K19" s="42"/>
      <c r="L19" s="40"/>
      <c r="M19" s="42"/>
      <c r="N19" s="40"/>
      <c r="O19" s="42"/>
      <c r="P19" s="40"/>
      <c r="Q19" s="42"/>
      <c r="R19" s="40"/>
      <c r="S19" s="42"/>
      <c r="T19" s="40"/>
      <c r="U19" s="42"/>
      <c r="V19" s="40"/>
      <c r="W19" s="42"/>
      <c r="X19" s="40"/>
      <c r="Y19" s="42"/>
      <c r="Z19" s="40"/>
      <c r="AA19" s="42"/>
      <c r="AB19" s="40"/>
      <c r="AC19" s="42"/>
      <c r="AD19" s="40"/>
      <c r="AE19" s="42"/>
      <c r="AF19" s="40"/>
      <c r="AG19" s="42"/>
      <c r="AH19" s="40"/>
      <c r="AI19" s="42"/>
      <c r="AJ19" s="40"/>
      <c r="AK19" s="42"/>
      <c r="AL19" s="40"/>
      <c r="AM19" s="42"/>
      <c r="AN19" s="40"/>
      <c r="AO19" s="42"/>
      <c r="AP19" s="40"/>
      <c r="AQ19" s="42"/>
      <c r="AR19" s="40"/>
      <c r="AS19" s="42"/>
      <c r="AT19" s="40"/>
      <c r="AU19" s="42"/>
      <c r="AV19" s="40"/>
      <c r="AW19" s="42"/>
      <c r="AX19" s="40"/>
      <c r="AY19" s="42"/>
      <c r="AZ19" s="40"/>
      <c r="BA19" s="42"/>
      <c r="BB19" s="40"/>
      <c r="BC19" s="42"/>
      <c r="BD19" s="40"/>
      <c r="BE19" s="42"/>
      <c r="BF19" s="40">
        <v>2</v>
      </c>
      <c r="BG19" s="42">
        <v>2</v>
      </c>
      <c r="BH19" s="40">
        <v>2</v>
      </c>
      <c r="BI19" s="42">
        <v>2</v>
      </c>
      <c r="BJ19" s="40"/>
      <c r="BK19" s="42">
        <v>2</v>
      </c>
      <c r="BL19" s="40">
        <v>2</v>
      </c>
      <c r="BM19" s="42"/>
      <c r="BN19" s="40"/>
      <c r="BO19" s="42">
        <v>2</v>
      </c>
      <c r="BP19" s="40"/>
      <c r="BQ19" s="42"/>
      <c r="BR19" s="40"/>
      <c r="BS19" s="42"/>
      <c r="BT19" s="40"/>
      <c r="BU19" s="42"/>
      <c r="BV19" s="40"/>
      <c r="BW19" s="42"/>
      <c r="BX19" s="40"/>
      <c r="BY19" s="42"/>
      <c r="BZ19" s="40"/>
      <c r="CA19" s="42"/>
      <c r="CB19" s="40"/>
      <c r="CC19" s="42"/>
      <c r="CD19" s="40">
        <v>2</v>
      </c>
      <c r="CE19" s="42"/>
      <c r="CF19" s="40">
        <v>2</v>
      </c>
      <c r="CI19" s="33">
        <v>2</v>
      </c>
      <c r="CK19" s="33">
        <v>2</v>
      </c>
      <c r="CN19" s="32">
        <v>2</v>
      </c>
      <c r="CP19" s="32">
        <v>2</v>
      </c>
      <c r="CQ19" s="33">
        <v>2</v>
      </c>
      <c r="CR19" s="32">
        <v>2</v>
      </c>
      <c r="CS19" s="33">
        <v>2</v>
      </c>
      <c r="CU19" s="33">
        <v>2</v>
      </c>
      <c r="DB19" s="32">
        <v>2</v>
      </c>
      <c r="DC19" s="33">
        <v>2</v>
      </c>
      <c r="DD19" s="32">
        <v>2</v>
      </c>
      <c r="DE19" s="33">
        <v>2</v>
      </c>
    </row>
    <row r="20" spans="2:137" ht="24.6" customHeight="1">
      <c r="B20" s="40"/>
      <c r="C20" s="41" t="s">
        <v>76</v>
      </c>
      <c r="D20" s="36"/>
      <c r="E20" s="42"/>
      <c r="F20" s="40"/>
      <c r="G20" s="42"/>
      <c r="H20" s="40"/>
      <c r="I20" s="42"/>
      <c r="J20" s="40"/>
      <c r="K20" s="42"/>
      <c r="L20" s="40"/>
      <c r="M20" s="42"/>
      <c r="N20" s="40"/>
      <c r="O20" s="42"/>
      <c r="P20" s="40"/>
      <c r="Q20" s="42"/>
      <c r="R20" s="40"/>
      <c r="S20" s="42">
        <v>1</v>
      </c>
      <c r="T20" s="40"/>
      <c r="U20" s="42"/>
      <c r="V20" s="40"/>
      <c r="W20" s="42"/>
      <c r="X20" s="40"/>
      <c r="Y20" s="42"/>
      <c r="Z20" s="40"/>
      <c r="AA20" s="42"/>
      <c r="AB20" s="40"/>
      <c r="AC20" s="42"/>
      <c r="AD20" s="40"/>
      <c r="AE20" s="42"/>
      <c r="AF20" s="40"/>
      <c r="AG20" s="42"/>
      <c r="AH20" s="40"/>
      <c r="AI20" s="42"/>
      <c r="AJ20" s="40">
        <v>1</v>
      </c>
      <c r="AK20" s="42">
        <v>1</v>
      </c>
      <c r="AL20" s="40">
        <v>1</v>
      </c>
      <c r="AM20" s="42"/>
      <c r="AN20" s="40"/>
      <c r="AO20" s="42"/>
      <c r="AP20" s="40"/>
      <c r="AQ20" s="42">
        <v>1</v>
      </c>
      <c r="AR20" s="40"/>
      <c r="AS20" s="42">
        <v>1</v>
      </c>
      <c r="AT20" s="40"/>
      <c r="AU20" s="42"/>
      <c r="AV20" s="40"/>
      <c r="AW20" s="42"/>
      <c r="AX20" s="40"/>
      <c r="AY20" s="42"/>
      <c r="AZ20" s="40"/>
      <c r="BA20" s="42"/>
      <c r="BB20" s="40"/>
      <c r="BC20" s="42"/>
      <c r="BD20" s="40"/>
      <c r="BE20" s="42"/>
      <c r="BF20" s="40"/>
      <c r="BG20" s="42"/>
      <c r="BH20" s="40"/>
      <c r="BI20" s="42"/>
      <c r="BJ20" s="40"/>
      <c r="BK20" s="42"/>
      <c r="BL20" s="40"/>
      <c r="BM20" s="42"/>
      <c r="BN20" s="40"/>
      <c r="BO20" s="42"/>
      <c r="BP20" s="40"/>
      <c r="BQ20" s="42"/>
      <c r="BR20" s="40"/>
      <c r="BS20" s="42"/>
      <c r="BT20" s="40"/>
      <c r="BU20" s="42"/>
      <c r="BV20" s="40"/>
      <c r="BW20" s="42"/>
      <c r="BX20" s="40"/>
      <c r="BY20" s="42"/>
      <c r="BZ20" s="40"/>
      <c r="CA20" s="42"/>
      <c r="CB20" s="40"/>
      <c r="CC20" s="42"/>
      <c r="CD20" s="40"/>
      <c r="CE20" s="42"/>
      <c r="CF20" s="40"/>
      <c r="CK20" s="33">
        <v>2</v>
      </c>
      <c r="DW20" s="33">
        <v>2</v>
      </c>
    </row>
    <row r="21" spans="2:137" s="162" customFormat="1" ht="21">
      <c r="B21" s="232" t="s">
        <v>57</v>
      </c>
      <c r="C21" s="232"/>
      <c r="D21" s="159">
        <f>SUM(D6:D20)</f>
        <v>17</v>
      </c>
      <c r="E21" s="160">
        <f t="shared" ref="E21:BQ21" si="91">SUM(E6:E20)</f>
        <v>5</v>
      </c>
      <c r="F21" s="159">
        <f t="shared" si="91"/>
        <v>1</v>
      </c>
      <c r="G21" s="160">
        <f t="shared" si="91"/>
        <v>4</v>
      </c>
      <c r="H21" s="159">
        <f t="shared" si="91"/>
        <v>4</v>
      </c>
      <c r="I21" s="160">
        <f t="shared" si="91"/>
        <v>2</v>
      </c>
      <c r="J21" s="159">
        <f t="shared" si="91"/>
        <v>5</v>
      </c>
      <c r="K21" s="160">
        <f t="shared" si="91"/>
        <v>4</v>
      </c>
      <c r="L21" s="159">
        <f t="shared" si="91"/>
        <v>7</v>
      </c>
      <c r="M21" s="160">
        <f t="shared" si="91"/>
        <v>0</v>
      </c>
      <c r="N21" s="159">
        <f t="shared" si="91"/>
        <v>5</v>
      </c>
      <c r="O21" s="160">
        <f t="shared" si="91"/>
        <v>3</v>
      </c>
      <c r="P21" s="159">
        <f t="shared" si="91"/>
        <v>4</v>
      </c>
      <c r="Q21" s="160">
        <f t="shared" si="91"/>
        <v>5</v>
      </c>
      <c r="R21" s="159">
        <f t="shared" si="91"/>
        <v>6</v>
      </c>
      <c r="S21" s="160">
        <f t="shared" si="91"/>
        <v>6</v>
      </c>
      <c r="T21" s="159">
        <f t="shared" si="91"/>
        <v>0</v>
      </c>
      <c r="U21" s="160">
        <f t="shared" si="91"/>
        <v>4</v>
      </c>
      <c r="V21" s="159">
        <f t="shared" si="91"/>
        <v>4</v>
      </c>
      <c r="W21" s="160">
        <f t="shared" si="91"/>
        <v>4</v>
      </c>
      <c r="X21" s="159">
        <f t="shared" si="91"/>
        <v>3</v>
      </c>
      <c r="Y21" s="160">
        <f t="shared" si="91"/>
        <v>4</v>
      </c>
      <c r="Z21" s="159">
        <f t="shared" si="91"/>
        <v>5</v>
      </c>
      <c r="AA21" s="160">
        <f t="shared" si="91"/>
        <v>0</v>
      </c>
      <c r="AB21" s="159">
        <f t="shared" si="91"/>
        <v>6</v>
      </c>
      <c r="AC21" s="160">
        <f t="shared" si="91"/>
        <v>5</v>
      </c>
      <c r="AD21" s="159">
        <f t="shared" si="91"/>
        <v>4</v>
      </c>
      <c r="AE21" s="160">
        <f t="shared" si="91"/>
        <v>7</v>
      </c>
      <c r="AF21" s="159">
        <f t="shared" si="91"/>
        <v>6</v>
      </c>
      <c r="AG21" s="160">
        <f t="shared" si="91"/>
        <v>7</v>
      </c>
      <c r="AH21" s="159">
        <f t="shared" si="91"/>
        <v>5</v>
      </c>
      <c r="AI21" s="160">
        <f t="shared" si="91"/>
        <v>6</v>
      </c>
      <c r="AJ21" s="159">
        <f t="shared" si="91"/>
        <v>6</v>
      </c>
      <c r="AK21" s="160">
        <f t="shared" si="91"/>
        <v>7</v>
      </c>
      <c r="AL21" s="159">
        <f t="shared" si="91"/>
        <v>5</v>
      </c>
      <c r="AM21" s="160">
        <f t="shared" si="91"/>
        <v>1</v>
      </c>
      <c r="AN21" s="159">
        <f t="shared" si="91"/>
        <v>4</v>
      </c>
      <c r="AO21" s="160">
        <f t="shared" si="91"/>
        <v>3</v>
      </c>
      <c r="AP21" s="159">
        <f t="shared" si="91"/>
        <v>4</v>
      </c>
      <c r="AQ21" s="160">
        <f t="shared" si="91"/>
        <v>5</v>
      </c>
      <c r="AR21" s="159">
        <f t="shared" si="91"/>
        <v>5</v>
      </c>
      <c r="AS21" s="160">
        <f t="shared" si="91"/>
        <v>6</v>
      </c>
      <c r="AT21" s="159">
        <f t="shared" si="91"/>
        <v>5</v>
      </c>
      <c r="AU21" s="160">
        <f t="shared" si="91"/>
        <v>4</v>
      </c>
      <c r="AV21" s="159">
        <f t="shared" si="91"/>
        <v>2</v>
      </c>
      <c r="AW21" s="160">
        <f t="shared" si="91"/>
        <v>4</v>
      </c>
      <c r="AX21" s="159">
        <f t="shared" si="91"/>
        <v>3</v>
      </c>
      <c r="AY21" s="160">
        <f t="shared" si="91"/>
        <v>7</v>
      </c>
      <c r="AZ21" s="159">
        <f t="shared" si="91"/>
        <v>5</v>
      </c>
      <c r="BA21" s="160">
        <f t="shared" si="91"/>
        <v>5</v>
      </c>
      <c r="BB21" s="159">
        <f t="shared" si="91"/>
        <v>5</v>
      </c>
      <c r="BC21" s="160">
        <f t="shared" si="91"/>
        <v>4</v>
      </c>
      <c r="BD21" s="159">
        <f t="shared" si="91"/>
        <v>6</v>
      </c>
      <c r="BE21" s="160">
        <f t="shared" si="91"/>
        <v>5</v>
      </c>
      <c r="BF21" s="159">
        <f t="shared" si="91"/>
        <v>7</v>
      </c>
      <c r="BG21" s="160">
        <f t="shared" si="91"/>
        <v>7</v>
      </c>
      <c r="BH21" s="159">
        <f t="shared" si="91"/>
        <v>9</v>
      </c>
      <c r="BI21" s="160">
        <f t="shared" si="91"/>
        <v>8</v>
      </c>
      <c r="BJ21" s="159">
        <f t="shared" si="91"/>
        <v>1</v>
      </c>
      <c r="BK21" s="160">
        <f t="shared" si="91"/>
        <v>9</v>
      </c>
      <c r="BL21" s="159">
        <f t="shared" si="91"/>
        <v>7</v>
      </c>
      <c r="BM21" s="160">
        <f t="shared" si="91"/>
        <v>6</v>
      </c>
      <c r="BN21" s="159">
        <f t="shared" si="91"/>
        <v>0</v>
      </c>
      <c r="BO21" s="160">
        <f t="shared" si="91"/>
        <v>3</v>
      </c>
      <c r="BP21" s="159">
        <f t="shared" si="91"/>
        <v>4</v>
      </c>
      <c r="BQ21" s="160">
        <f t="shared" si="91"/>
        <v>4</v>
      </c>
      <c r="BR21" s="159">
        <f t="shared" ref="BR21:DD21" si="92">SUM(BR6:BR20)</f>
        <v>2</v>
      </c>
      <c r="BS21" s="160">
        <f t="shared" si="92"/>
        <v>2</v>
      </c>
      <c r="BT21" s="159">
        <f t="shared" si="92"/>
        <v>0</v>
      </c>
      <c r="BU21" s="160">
        <f t="shared" si="92"/>
        <v>0</v>
      </c>
      <c r="BV21" s="159">
        <f t="shared" si="92"/>
        <v>0</v>
      </c>
      <c r="BW21" s="160">
        <f t="shared" si="92"/>
        <v>4</v>
      </c>
      <c r="BX21" s="159">
        <f t="shared" si="92"/>
        <v>3</v>
      </c>
      <c r="BY21" s="160">
        <f t="shared" si="92"/>
        <v>4</v>
      </c>
      <c r="BZ21" s="159">
        <f t="shared" si="92"/>
        <v>0</v>
      </c>
      <c r="CA21" s="160">
        <f t="shared" si="92"/>
        <v>4</v>
      </c>
      <c r="CB21" s="159">
        <f t="shared" si="92"/>
        <v>0</v>
      </c>
      <c r="CC21" s="160">
        <f t="shared" si="92"/>
        <v>4</v>
      </c>
      <c r="CD21" s="159">
        <f t="shared" si="92"/>
        <v>7</v>
      </c>
      <c r="CE21" s="160">
        <f t="shared" si="92"/>
        <v>3</v>
      </c>
      <c r="CF21" s="159">
        <f t="shared" si="92"/>
        <v>6</v>
      </c>
      <c r="CG21" s="160">
        <f t="shared" si="92"/>
        <v>0</v>
      </c>
      <c r="CH21" s="159">
        <f t="shared" si="92"/>
        <v>0</v>
      </c>
      <c r="CI21" s="160">
        <f t="shared" si="92"/>
        <v>7</v>
      </c>
      <c r="CJ21" s="159">
        <f t="shared" si="92"/>
        <v>5</v>
      </c>
      <c r="CK21" s="160">
        <f t="shared" si="92"/>
        <v>9</v>
      </c>
      <c r="CL21" s="161">
        <f t="shared" si="92"/>
        <v>0</v>
      </c>
      <c r="CM21" s="160">
        <f t="shared" si="92"/>
        <v>0</v>
      </c>
      <c r="CN21" s="159">
        <f t="shared" si="92"/>
        <v>6</v>
      </c>
      <c r="CO21" s="160">
        <f t="shared" si="92"/>
        <v>5</v>
      </c>
      <c r="CP21" s="159">
        <f t="shared" si="92"/>
        <v>6</v>
      </c>
      <c r="CQ21" s="160">
        <f t="shared" si="92"/>
        <v>7</v>
      </c>
      <c r="CR21" s="159">
        <f t="shared" si="92"/>
        <v>6</v>
      </c>
      <c r="CS21" s="160">
        <f t="shared" si="92"/>
        <v>7</v>
      </c>
      <c r="CT21" s="159">
        <f t="shared" si="92"/>
        <v>5</v>
      </c>
      <c r="CU21" s="160">
        <f t="shared" si="92"/>
        <v>3</v>
      </c>
      <c r="CV21" s="159">
        <f t="shared" si="92"/>
        <v>6</v>
      </c>
      <c r="CW21" s="160">
        <f t="shared" si="92"/>
        <v>4</v>
      </c>
      <c r="CX21" s="159">
        <f t="shared" si="92"/>
        <v>4</v>
      </c>
      <c r="CY21" s="160">
        <f t="shared" si="92"/>
        <v>5</v>
      </c>
      <c r="CZ21" s="159">
        <f t="shared" si="92"/>
        <v>0</v>
      </c>
      <c r="DA21" s="160">
        <f t="shared" si="92"/>
        <v>5</v>
      </c>
      <c r="DB21" s="159">
        <f t="shared" si="92"/>
        <v>7</v>
      </c>
      <c r="DC21" s="160">
        <f t="shared" si="92"/>
        <v>7</v>
      </c>
      <c r="DD21" s="159">
        <f t="shared" si="92"/>
        <v>6</v>
      </c>
      <c r="DE21" s="160">
        <f>SUM(DE6:DE20)</f>
        <v>6</v>
      </c>
      <c r="DF21" s="159">
        <f t="shared" ref="DF21:EG21" si="93">SUM(DF6:DF20)</f>
        <v>4</v>
      </c>
      <c r="DG21" s="160">
        <f t="shared" si="93"/>
        <v>0</v>
      </c>
      <c r="DH21" s="159">
        <f t="shared" si="93"/>
        <v>6</v>
      </c>
      <c r="DI21" s="160">
        <f t="shared" si="93"/>
        <v>4</v>
      </c>
      <c r="DJ21" s="159">
        <f t="shared" si="93"/>
        <v>6</v>
      </c>
      <c r="DK21" s="160">
        <f t="shared" si="93"/>
        <v>5</v>
      </c>
      <c r="DL21" s="159">
        <f t="shared" si="93"/>
        <v>5</v>
      </c>
      <c r="DM21" s="160">
        <f t="shared" si="93"/>
        <v>6</v>
      </c>
      <c r="DN21" s="159">
        <f t="shared" si="93"/>
        <v>3</v>
      </c>
      <c r="DO21" s="160">
        <f t="shared" si="93"/>
        <v>3</v>
      </c>
      <c r="DP21" s="159">
        <f t="shared" si="93"/>
        <v>3</v>
      </c>
      <c r="DQ21" s="160">
        <f t="shared" si="93"/>
        <v>0</v>
      </c>
      <c r="DR21" s="159">
        <f t="shared" si="93"/>
        <v>4</v>
      </c>
      <c r="DS21" s="160">
        <f t="shared" si="93"/>
        <v>5</v>
      </c>
      <c r="DT21" s="159">
        <f t="shared" si="93"/>
        <v>4</v>
      </c>
      <c r="DU21" s="160">
        <f t="shared" si="93"/>
        <v>2</v>
      </c>
      <c r="DV21" s="159">
        <f t="shared" si="93"/>
        <v>5</v>
      </c>
      <c r="DW21" s="160">
        <f t="shared" si="93"/>
        <v>6</v>
      </c>
      <c r="DX21" s="159">
        <f t="shared" si="93"/>
        <v>4</v>
      </c>
      <c r="DY21" s="159">
        <f t="shared" si="93"/>
        <v>4</v>
      </c>
      <c r="DZ21" s="159">
        <f t="shared" si="93"/>
        <v>5</v>
      </c>
      <c r="EA21" s="159">
        <f t="shared" si="93"/>
        <v>4</v>
      </c>
      <c r="EB21" s="159">
        <f t="shared" si="93"/>
        <v>4</v>
      </c>
      <c r="EC21" s="159">
        <f t="shared" si="93"/>
        <v>5</v>
      </c>
      <c r="ED21" s="159">
        <f t="shared" si="93"/>
        <v>0</v>
      </c>
      <c r="EE21" s="159">
        <f t="shared" si="93"/>
        <v>0</v>
      </c>
      <c r="EF21" s="159">
        <f t="shared" si="93"/>
        <v>0</v>
      </c>
      <c r="EG21" s="159">
        <f t="shared" si="93"/>
        <v>0</v>
      </c>
    </row>
  </sheetData>
  <mergeCells count="9">
    <mergeCell ref="B2:CF2"/>
    <mergeCell ref="B3:D3"/>
    <mergeCell ref="B21:C21"/>
    <mergeCell ref="B4:B5"/>
    <mergeCell ref="C4:C5"/>
    <mergeCell ref="D4:D5"/>
    <mergeCell ref="BN4:CF4"/>
    <mergeCell ref="E4:AH4"/>
    <mergeCell ref="AI4:BM4"/>
  </mergeCells>
  <pageMargins left="0.70866141732283505" right="0.70866141732283505" top="0.74803149606299202" bottom="0.74803149606299202" header="0.31496062992126" footer="0.31496062992126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Tower -B</vt:lpstr>
      <vt:lpstr>T-B Manpower Details</vt:lpstr>
      <vt:lpstr>Tower-C</vt:lpstr>
      <vt:lpstr>T-C manpower details</vt:lpstr>
      <vt:lpstr>'T-B Manpower Details'!Print_Area</vt:lpstr>
      <vt:lpstr>'T-C manpower details'!Print_Area</vt:lpstr>
      <vt:lpstr>'Tower -B'!Print_Area</vt:lpstr>
      <vt:lpstr>'Tower-C'!Print_Area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prathap varma danthuluri</dc:creator>
  <cp:lastModifiedBy>user</cp:lastModifiedBy>
  <cp:lastPrinted>2026-01-21T14:00:40Z</cp:lastPrinted>
  <dcterms:created xsi:type="dcterms:W3CDTF">2025-06-06T08:11:00Z</dcterms:created>
  <dcterms:modified xsi:type="dcterms:W3CDTF">2026-03-25T15:45:34Z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3EDD31726F91488E9538FD204CDC02E9_12</vt:lpwstr>
  </property>
  <property fmtid="{D5CDD505-2E9C-101B-9397-08002B2CF9AE}" pid="3" name="KSOProductBuildVer">
    <vt:lpwstr>1033-12.2.0.23155</vt:lpwstr>
  </property>
</Properties>
</file>