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11760" firstSheet="1" activeTab="1"/>
  </bookViews>
  <sheets>
    <sheet name="DLR-1" sheetId="2" state="hidden" r:id="rId1"/>
    <sheet name="Finishings Tracker" sheetId="3" r:id="rId2"/>
    <sheet name="Clearances" sheetId="4" r:id="rId3"/>
    <sheet name="Sheet1" sheetId="5" r:id="rId4"/>
  </sheets>
  <definedNames>
    <definedName name="_xlnm._FilterDatabase" localSheetId="1" hidden="1">'Finishings Tracker'!#REF!</definedName>
    <definedName name="_xlnm.Print_Area" localSheetId="2">Clearances!$A$1:$AI$18</definedName>
    <definedName name="_xlnm.Print_Area" localSheetId="0">'DLR-1'!$B$1:$K$510</definedName>
    <definedName name="_xlnm.Print_Area" localSheetId="1">'Finishings Tracker'!$A$1:$AO$433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4" l="1"/>
  <c r="B6" i="3" l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E55" i="2" l="1"/>
  <c r="E59" i="2"/>
  <c r="E62" i="2"/>
  <c r="E66" i="2"/>
  <c r="E70" i="2"/>
  <c r="E72" i="2"/>
  <c r="E77" i="2"/>
  <c r="E82" i="2"/>
  <c r="E87" i="2"/>
  <c r="E92" i="2"/>
  <c r="E97" i="2"/>
  <c r="E102" i="2"/>
  <c r="E104" i="2"/>
  <c r="E107" i="2"/>
  <c r="E111" i="2"/>
  <c r="E115" i="2"/>
  <c r="E119" i="2"/>
  <c r="E121" i="2"/>
  <c r="E124" i="2"/>
  <c r="E129" i="2"/>
  <c r="E150" i="2"/>
  <c r="E153" i="2"/>
  <c r="E157" i="2"/>
  <c r="E160" i="2"/>
  <c r="E165" i="2"/>
  <c r="E182" i="2"/>
  <c r="E186" i="2"/>
  <c r="E190" i="2"/>
  <c r="E199" i="2"/>
  <c r="E203" i="2"/>
  <c r="E207" i="2"/>
  <c r="E210" i="2"/>
  <c r="E214" i="2"/>
  <c r="E218" i="2"/>
</calcChain>
</file>

<file path=xl/sharedStrings.xml><?xml version="1.0" encoding="utf-8"?>
<sst xmlns="http://schemas.openxmlformats.org/spreadsheetml/2006/main" count="724" uniqueCount="362">
  <si>
    <t>Tower -E</t>
  </si>
  <si>
    <t>Remarks</t>
  </si>
  <si>
    <t>Date</t>
  </si>
  <si>
    <t>Man Power</t>
  </si>
  <si>
    <t xml:space="preserve"> </t>
  </si>
  <si>
    <t>6th floor corridor thread pulling</t>
  </si>
  <si>
    <t xml:space="preserve">               completed</t>
  </si>
  <si>
    <t>Earth strip laying</t>
  </si>
  <si>
    <t xml:space="preserve">1702 wall &amp; slab </t>
  </si>
  <si>
    <t xml:space="preserve">  WIP (50% -completed)</t>
  </si>
  <si>
    <t>3rd floor 302 Switch board fixing</t>
  </si>
  <si>
    <t xml:space="preserve">1703 wall conduit  </t>
  </si>
  <si>
    <t xml:space="preserve">    WIP (80% completed )</t>
  </si>
  <si>
    <t>1st floor wiring</t>
  </si>
  <si>
    <t xml:space="preserve">             26-11-2025</t>
  </si>
  <si>
    <t xml:space="preserve">1703 Box fixing &amp; wall </t>
  </si>
  <si>
    <t xml:space="preserve">      WIP (60% - completed)</t>
  </si>
  <si>
    <t>6th floor corridor wiring</t>
  </si>
  <si>
    <t>401 ferrol fixing</t>
  </si>
  <si>
    <t>1702wall conduit</t>
  </si>
  <si>
    <t xml:space="preserve">    wip (28th floor working )</t>
  </si>
  <si>
    <t>29 th floor Wiring  snag points</t>
  </si>
  <si>
    <t xml:space="preserve">1701 Slab corridor </t>
  </si>
  <si>
    <t xml:space="preserve">             25-11-2025</t>
  </si>
  <si>
    <t xml:space="preserve">      completed (Unit 3 pending)</t>
  </si>
  <si>
    <t>5th floor corridor wiring</t>
  </si>
  <si>
    <t>1703 Box fixing</t>
  </si>
  <si>
    <t>1702 Wall conduit</t>
  </si>
  <si>
    <t xml:space="preserve">    wip</t>
  </si>
  <si>
    <t xml:space="preserve">1701 Wall &amp; slab </t>
  </si>
  <si>
    <t xml:space="preserve">    WIP (13th floor working )</t>
  </si>
  <si>
    <t>foot lamp marking</t>
  </si>
  <si>
    <t xml:space="preserve">             24-11-2025</t>
  </si>
  <si>
    <t>701 thread pulling</t>
  </si>
  <si>
    <t xml:space="preserve">    WIP (30% -completed)</t>
  </si>
  <si>
    <t xml:space="preserve"> 1702 Bax fixing</t>
  </si>
  <si>
    <t xml:space="preserve">    WIP (20%-completed)</t>
  </si>
  <si>
    <t xml:space="preserve">1603 wall conduit  slab &amp; 1701 Wall </t>
  </si>
  <si>
    <t xml:space="preserve">    WIP (80% -completed)</t>
  </si>
  <si>
    <t xml:space="preserve">             22-11-2025</t>
  </si>
  <si>
    <t xml:space="preserve">      completed</t>
  </si>
  <si>
    <t>WIP (30% -completed)</t>
  </si>
  <si>
    <t>1602 screw open &amp; 1701 Bax fixing</t>
  </si>
  <si>
    <t xml:space="preserve">  WIP (10%-completed)</t>
  </si>
  <si>
    <t>8th floor corridor wiring</t>
  </si>
  <si>
    <t>1603 wall conduit  slab</t>
  </si>
  <si>
    <t xml:space="preserve">    WIP (70% -completed)</t>
  </si>
  <si>
    <t xml:space="preserve">             21-11-2025</t>
  </si>
  <si>
    <t>Material Packing</t>
  </si>
  <si>
    <t xml:space="preserve">       WIP (10% - completed) </t>
  </si>
  <si>
    <t>1701 BOX fixing</t>
  </si>
  <si>
    <t>1603 wall conduit</t>
  </si>
  <si>
    <t xml:space="preserve">    WIP (60% -completed)</t>
  </si>
  <si>
    <t xml:space="preserve">             20-11-2025</t>
  </si>
  <si>
    <t>completd</t>
  </si>
  <si>
    <t>26th floor snag points</t>
  </si>
  <si>
    <t>1602 Wall</t>
  </si>
  <si>
    <t xml:space="preserve">  WIP (80%-completed)</t>
  </si>
  <si>
    <t>7th floor corridor wiring</t>
  </si>
  <si>
    <t>1601 Wall &amp; Slab</t>
  </si>
  <si>
    <t>302 switch Board</t>
  </si>
  <si>
    <t xml:space="preserve">  WIP 50%</t>
  </si>
  <si>
    <t>Completd</t>
  </si>
  <si>
    <t>4th floor corridor wiring</t>
  </si>
  <si>
    <t>Man power shifted to 303 Box fixing</t>
  </si>
  <si>
    <t>Not engaged</t>
  </si>
  <si>
    <t>302 AEDB dressing</t>
  </si>
  <si>
    <t xml:space="preserve">1602 Wall </t>
  </si>
  <si>
    <t>28th floor snag points</t>
  </si>
  <si>
    <t xml:space="preserve">1601 Box fixing &amp;Wall </t>
  </si>
  <si>
    <t>Manpower Shited to 403 Theft Circuit Laying</t>
  </si>
  <si>
    <t>1503 Slab Monitoring Worker</t>
  </si>
  <si>
    <t xml:space="preserve">AEDB Ferrules WIP </t>
  </si>
  <si>
    <t>External LPS Conductor Laying</t>
  </si>
  <si>
    <t>27th floor snag points</t>
  </si>
  <si>
    <t>3rd floor corridor wiring</t>
  </si>
  <si>
    <t>303 Switch Board fixing</t>
  </si>
  <si>
    <t xml:space="preserve"> Man  power </t>
  </si>
  <si>
    <t>301 switch board fixing</t>
  </si>
  <si>
    <t>303 ferrol &amp; box cleaning</t>
  </si>
  <si>
    <t>3rd floor corridor</t>
  </si>
  <si>
    <t>30th floor cutting chepping</t>
  </si>
  <si>
    <t>29th floor checking</t>
  </si>
  <si>
    <t xml:space="preserve">32th floor cutting chepping </t>
  </si>
  <si>
    <t>301 switch board</t>
  </si>
  <si>
    <t xml:space="preserve">28th floor cutting chepping </t>
  </si>
  <si>
    <t xml:space="preserve">27th floor cutting chepping </t>
  </si>
  <si>
    <t>RO conduit</t>
  </si>
  <si>
    <t xml:space="preserve">2nd floor </t>
  </si>
  <si>
    <t>13th floor footlamp fixing</t>
  </si>
  <si>
    <t>GLD wiring</t>
  </si>
  <si>
    <t>8th floor Ac socket fixing</t>
  </si>
  <si>
    <t>6th floor Ac socket fixing</t>
  </si>
  <si>
    <t>2nd floor corridor</t>
  </si>
  <si>
    <t>lift -2</t>
  </si>
  <si>
    <t>staircase checking</t>
  </si>
  <si>
    <t xml:space="preserve">27th floor checking </t>
  </si>
  <si>
    <t>2nd floor corridor Lp marking</t>
  </si>
  <si>
    <t>15th floor marking</t>
  </si>
  <si>
    <t>12th floor checking</t>
  </si>
  <si>
    <t>9th and 8th floor LP marking</t>
  </si>
  <si>
    <t>27th floor checking</t>
  </si>
  <si>
    <t>32nd floor wiring</t>
  </si>
  <si>
    <t>32nd floor  flexible and dummy fixing</t>
  </si>
  <si>
    <t>3rd floor Ac socket fixing</t>
  </si>
  <si>
    <t>7th and 8th floor LP snag points</t>
  </si>
  <si>
    <t xml:space="preserve">25th floor snag points  </t>
  </si>
  <si>
    <t>32 floor wiring</t>
  </si>
  <si>
    <t xml:space="preserve">2nd floor corridor </t>
  </si>
  <si>
    <t xml:space="preserve">2nd floor MAEDB Dressing </t>
  </si>
  <si>
    <t xml:space="preserve">26th floor snag points </t>
  </si>
  <si>
    <t>9th floor Lp marking</t>
  </si>
  <si>
    <t xml:space="preserve">25th floor snag points </t>
  </si>
  <si>
    <t>MAEDB instalation</t>
  </si>
  <si>
    <t>8th floor marking LP</t>
  </si>
  <si>
    <t>earth strip power</t>
  </si>
  <si>
    <t xml:space="preserve">ODU connection </t>
  </si>
  <si>
    <t>7th floor marking LP</t>
  </si>
  <si>
    <t>2nd MEADB</t>
  </si>
  <si>
    <t>25th &amp;26 floor footlamp cutting chepping</t>
  </si>
  <si>
    <t>7th floor LP marking</t>
  </si>
  <si>
    <t>6th floor LP marking</t>
  </si>
  <si>
    <t>4th loor snag points</t>
  </si>
  <si>
    <t>z</t>
  </si>
  <si>
    <t>4th floor snag points</t>
  </si>
  <si>
    <t>22nd floor snag points</t>
  </si>
  <si>
    <t>8th floor GLD Wiring</t>
  </si>
  <si>
    <t>3101&amp;3102 tagging</t>
  </si>
  <si>
    <t>503 LP marking</t>
  </si>
  <si>
    <t>5th floor GLD Wiring</t>
  </si>
  <si>
    <t>25th floor checking</t>
  </si>
  <si>
    <t>2nd floor corridor wiring</t>
  </si>
  <si>
    <t>2402&amp;2403 checking</t>
  </si>
  <si>
    <t xml:space="preserve">31st floor tagging </t>
  </si>
  <si>
    <t>4th floor LP marking</t>
  </si>
  <si>
    <t>28th floor fa points</t>
  </si>
  <si>
    <t>4th floor GLD wiring</t>
  </si>
  <si>
    <t>24th floor checking</t>
  </si>
  <si>
    <t>28th floor FAPA Counduting</t>
  </si>
  <si>
    <t xml:space="preserve">29th floor tagging  </t>
  </si>
  <si>
    <t>25th floor FAPA Counduting</t>
  </si>
  <si>
    <t xml:space="preserve">27th floor tagging  </t>
  </si>
  <si>
    <t>17th floor FAPA Counduting</t>
  </si>
  <si>
    <t>5th floor LP marking</t>
  </si>
  <si>
    <t>2nd floor actuators fixing</t>
  </si>
  <si>
    <t>Club house slab conduiting</t>
  </si>
  <si>
    <t>FAPA Counduting</t>
  </si>
  <si>
    <t>lift rectification</t>
  </si>
  <si>
    <t>phase 2 basment temporary lighting</t>
  </si>
  <si>
    <t>corridor work</t>
  </si>
  <si>
    <t>Phase 2 basment temporary lighting</t>
  </si>
  <si>
    <t>Toilte work</t>
  </si>
  <si>
    <t>2nd floor c</t>
  </si>
  <si>
    <t>24th floor foootlamp cutting chepping</t>
  </si>
  <si>
    <t xml:space="preserve">Lmr room </t>
  </si>
  <si>
    <t>24Th floor checking</t>
  </si>
  <si>
    <t>earth strip work</t>
  </si>
  <si>
    <t>24 th flooe foot lamp cutting</t>
  </si>
  <si>
    <t>31 st toilet Work</t>
  </si>
  <si>
    <t>2301 wiring checking</t>
  </si>
  <si>
    <t xml:space="preserve">7th floor corridor wiring </t>
  </si>
  <si>
    <t>4th floor lp marking</t>
  </si>
  <si>
    <t>lmr room and earth strip</t>
  </si>
  <si>
    <t>14th floor toilte work</t>
  </si>
  <si>
    <t>2301 checking</t>
  </si>
  <si>
    <t>8th floor foot lamp fixing</t>
  </si>
  <si>
    <t>31 floor ledge wall</t>
  </si>
  <si>
    <t>28th floor toilte work</t>
  </si>
  <si>
    <t>31&amp;31 flat wiring</t>
  </si>
  <si>
    <t>27th toilet Work</t>
  </si>
  <si>
    <t>30 ledgewall</t>
  </si>
  <si>
    <t>3203 wiring</t>
  </si>
  <si>
    <t>5th 6th floor corridor conduting</t>
  </si>
  <si>
    <t>31st wiring</t>
  </si>
  <si>
    <t>2nd &amp;4th floor corridor conduting</t>
  </si>
  <si>
    <t>3103 wiring</t>
  </si>
  <si>
    <t>2nd floor corridor conduting</t>
  </si>
  <si>
    <t>23,24,25 Floor DB packing</t>
  </si>
  <si>
    <t>401 LP marking</t>
  </si>
  <si>
    <t>2302&amp;201 checking</t>
  </si>
  <si>
    <t>passanger lift2 open conduting</t>
  </si>
  <si>
    <t>18th Floor toilte work</t>
  </si>
  <si>
    <t>22nd floor cutting chepping</t>
  </si>
  <si>
    <t>26th Floor toilte work</t>
  </si>
  <si>
    <t>201 QC snag points</t>
  </si>
  <si>
    <t>24th floor toilte work</t>
  </si>
  <si>
    <t>22nd floor snag</t>
  </si>
  <si>
    <t>18th toilet Work</t>
  </si>
  <si>
    <t>22nd floor DB</t>
  </si>
  <si>
    <t>18th floor DB Packing</t>
  </si>
  <si>
    <t>3201 wiring</t>
  </si>
  <si>
    <t>3102 wiring</t>
  </si>
  <si>
    <t>2302 Checking</t>
  </si>
  <si>
    <t xml:space="preserve">8rd floor corridor </t>
  </si>
  <si>
    <t>6rd floor corridor</t>
  </si>
  <si>
    <t>2303 Checking</t>
  </si>
  <si>
    <t>4rd floor corridor</t>
  </si>
  <si>
    <t>17thtoilet Work</t>
  </si>
  <si>
    <t>17th18 toilet Work</t>
  </si>
  <si>
    <t>15th toilet Work</t>
  </si>
  <si>
    <t xml:space="preserve">31st floor communication </t>
  </si>
  <si>
    <t>16th  and 15th toilet Work</t>
  </si>
  <si>
    <t>31st floor Knx Wiring</t>
  </si>
  <si>
    <t>3rd floor Board cleaning</t>
  </si>
  <si>
    <t>16th DB packing</t>
  </si>
  <si>
    <t>2nd floor QC points</t>
  </si>
  <si>
    <t>2303 checking</t>
  </si>
  <si>
    <t>31st floor DB Fixing</t>
  </si>
  <si>
    <t>B1 Slab Conduiting</t>
  </si>
  <si>
    <t>3rd floor celling lp marking</t>
  </si>
  <si>
    <t>16th floor toilet</t>
  </si>
  <si>
    <t>11 th floor toilet</t>
  </si>
  <si>
    <t>13 Floor DB packing</t>
  </si>
  <si>
    <t>3rd Floor Corridor</t>
  </si>
  <si>
    <t>12th floor DB packing</t>
  </si>
  <si>
    <t>lift shaft work</t>
  </si>
  <si>
    <t>Club House</t>
  </si>
  <si>
    <t>12th&amp;13th Floor DB</t>
  </si>
  <si>
    <t>17th Fa Points</t>
  </si>
  <si>
    <t>3001 Ac Box fixing</t>
  </si>
  <si>
    <t>17th floor toilet</t>
  </si>
  <si>
    <t>3002 flexible fixing</t>
  </si>
  <si>
    <t>20th floor foot lamp</t>
  </si>
  <si>
    <t>19th floor foot lamp</t>
  </si>
  <si>
    <t>2203  Continuity Checking</t>
  </si>
  <si>
    <t>14th floor DB</t>
  </si>
  <si>
    <t>22 floor communication</t>
  </si>
  <si>
    <t>12th &amp; 13th floor DB</t>
  </si>
  <si>
    <t>2nd floor foot lamp work</t>
  </si>
  <si>
    <t>13th floor flat</t>
  </si>
  <si>
    <t xml:space="preserve">2203 Checking </t>
  </si>
  <si>
    <t>1st floor foot lamp work</t>
  </si>
  <si>
    <t xml:space="preserve">202 Switch board fixing </t>
  </si>
  <si>
    <t xml:space="preserve">30th floor communication </t>
  </si>
  <si>
    <t>23 floor toilet wiring</t>
  </si>
  <si>
    <t>Total</t>
  </si>
  <si>
    <t>12th floor toilet wiring</t>
  </si>
  <si>
    <t>staire case wiring</t>
  </si>
  <si>
    <t>21th floor toilet</t>
  </si>
  <si>
    <t>29 floor communication</t>
  </si>
  <si>
    <t>staircase</t>
  </si>
  <si>
    <t xml:space="preserve">12&amp;13 floor DB </t>
  </si>
  <si>
    <t>2nd floor mockup</t>
  </si>
  <si>
    <t xml:space="preserve">2203 checking </t>
  </si>
  <si>
    <t xml:space="preserve"> 20-11-2025</t>
  </si>
  <si>
    <t>Status</t>
  </si>
  <si>
    <t>Manpower  (No's)</t>
  </si>
  <si>
    <t xml:space="preserve">PLANNED </t>
  </si>
  <si>
    <t>Work Status By EOD/ DPR</t>
  </si>
  <si>
    <t>Planned Works</t>
  </si>
  <si>
    <t>Tower -B</t>
  </si>
  <si>
    <t>Contractor : Dayakar Electricals</t>
  </si>
  <si>
    <t xml:space="preserve">DLR&amp; DPR  Details </t>
  </si>
  <si>
    <t>Corridor</t>
  </si>
  <si>
    <t>Marking 
QC Check Dt.</t>
  </si>
  <si>
    <t xml:space="preserve">HO to Civil for Cutting </t>
  </si>
  <si>
    <t>Light Cutting Completion Dt.</t>
  </si>
  <si>
    <t>Cutting Post Check Dt.</t>
  </si>
  <si>
    <t>Frame Rectification Dt.</t>
  </si>
  <si>
    <t>Ho to Civil for 1st Coat</t>
  </si>
  <si>
    <t xml:space="preserve">Till 1st Coat Clearance </t>
  </si>
  <si>
    <t>Till 2nd Coat Clearance</t>
  </si>
  <si>
    <t xml:space="preserve">HO For Send Coat </t>
  </si>
  <si>
    <t>Unit No</t>
  </si>
  <si>
    <t>1st coat Completion&amp; 
HO MEP</t>
  </si>
  <si>
    <t>Fixtures Installation 
Qc chek Dt.</t>
  </si>
  <si>
    <t xml:space="preserve">Flat Internal </t>
  </si>
  <si>
    <t>Till board Closing</t>
  </si>
  <si>
    <t>Wiring QC Check Dt.</t>
  </si>
  <si>
    <t>HO For Board Closing</t>
  </si>
  <si>
    <t>Sl.No</t>
  </si>
  <si>
    <t>Activity</t>
  </si>
  <si>
    <t>Corridor Wiring</t>
  </si>
  <si>
    <t>Staircase Wiring</t>
  </si>
  <si>
    <t>FA</t>
  </si>
  <si>
    <t>PA</t>
  </si>
  <si>
    <t>ETBS</t>
  </si>
  <si>
    <t>Tower Internal Electrical</t>
  </si>
  <si>
    <t>External Electrical</t>
  </si>
  <si>
    <t>FCC Room (Cable Tray, FA PA Cabling &amp; Panels)</t>
  </si>
  <si>
    <t>Fire Pump Room (Cable tray, Cabling, Panel&amp; Earthing)</t>
  </si>
  <si>
    <t>Basement Ventilation System( Tray&amp; Panels, Cabling)</t>
  </si>
  <si>
    <t>Tower Electrical Rooms ( Tray&amp; Panels, Cabling)</t>
  </si>
  <si>
    <t>II.</t>
  </si>
  <si>
    <t>I.</t>
  </si>
  <si>
    <t>Ventilation syatem Cable Tray</t>
  </si>
  <si>
    <t>Electrical Tray (For Above Services)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</si>
  <si>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</si>
  <si>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</si>
  <si>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</si>
  <si>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</si>
  <si>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</si>
  <si>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</si>
  <si>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</si>
  <si>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</si>
  <si>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</si>
  <si>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</si>
  <si>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</si>
  <si>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</si>
  <si>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</si>
  <si>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</si>
  <si>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</si>
  <si>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</si>
  <si>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</si>
  <si>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</si>
  <si>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</si>
  <si>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</si>
  <si>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</si>
  <si>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</si>
  <si>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</si>
  <si>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</si>
  <si>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</si>
  <si>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</si>
  <si>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</si>
  <si>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</si>
  <si>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</si>
  <si>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</si>
  <si>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</si>
  <si>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32nd</t>
  </si>
  <si>
    <t>Basement -1</t>
  </si>
  <si>
    <t>Stilt Level</t>
  </si>
  <si>
    <t>Basement -2</t>
  </si>
  <si>
    <t>Basement -3</t>
  </si>
  <si>
    <t>Circuit Wiring Pending</t>
  </si>
  <si>
    <t>Huddles</t>
  </si>
  <si>
    <t>FA Fixtures to be Supplied</t>
  </si>
  <si>
    <t>PA Fixtures to be Supplied</t>
  </si>
  <si>
    <t>Fixtures to be supplied</t>
  </si>
  <si>
    <t>Ventilation Panels&amp; FS Cables Not Received</t>
  </si>
  <si>
    <t>Service Lift Charging</t>
  </si>
  <si>
    <t>Earth Studs Not Found in Shaft</t>
  </si>
  <si>
    <t>-</t>
  </si>
  <si>
    <t>Stores&amp; Floor level clearance needed</t>
  </si>
  <si>
    <t>CSP Panel</t>
  </si>
  <si>
    <t>Staircase&amp; Lobby Pressurization (Tray&amp; Panel, Cabling)</t>
  </si>
  <si>
    <t>Trays&amp; Panels Not Received</t>
  </si>
  <si>
    <r>
      <t xml:space="preserve">List of Activitys Related to Fire </t>
    </r>
    <r>
      <rPr>
        <b/>
        <u/>
        <sz val="11"/>
        <color rgb="FFFF0000"/>
        <rFont val="Calibri"/>
        <family val="2"/>
        <scheme val="minor"/>
      </rPr>
      <t>NOC -20-12-2025</t>
    </r>
  </si>
  <si>
    <t>Cable Schedule Needed&amp; Earth Studs not Available</t>
  </si>
  <si>
    <t xml:space="preserve">S/B </t>
  </si>
  <si>
    <t>Panels yet to be finalised</t>
  </si>
  <si>
    <t>Light Marking 
QC Check Dt.</t>
  </si>
  <si>
    <t>Common area Lighting</t>
  </si>
  <si>
    <t>Staircase Lighting</t>
  </si>
  <si>
    <t>Completed</t>
  </si>
  <si>
    <t>1-18-2025</t>
  </si>
  <si>
    <t>1-31-2025</t>
  </si>
  <si>
    <t>2-17-2025</t>
  </si>
  <si>
    <t>2-27-2025</t>
  </si>
  <si>
    <t>3-13-2025</t>
  </si>
  <si>
    <t>23-24-2025</t>
  </si>
  <si>
    <t>3-27-2025</t>
  </si>
  <si>
    <t>4-20-2025</t>
  </si>
  <si>
    <t>9-15-2025</t>
  </si>
  <si>
    <t>11-19-2025</t>
  </si>
  <si>
    <t>12-15-2025</t>
  </si>
  <si>
    <t>12-20-2025</t>
  </si>
  <si>
    <t>12-22-2025</t>
  </si>
  <si>
    <t>12-25-2026</t>
  </si>
  <si>
    <t>1-16-2026</t>
  </si>
  <si>
    <t>1-19-2026</t>
  </si>
  <si>
    <t>1-23-2026</t>
  </si>
  <si>
    <t>1-29-2026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</si>
</sst>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5" fillId="0" borderId="37" xfId="0" applyNumberFormat="1" applyFont="1" applyBorder="1" applyAlignment="1">
      <alignment horizontal="center" vertical="center"/>
    </xf>
    <xf numFmtId="14" fontId="5" fillId="0" borderId="35" xfId="0" applyNumberFormat="1" applyFont="1" applyBorder="1" applyAlignment="1">
      <alignment horizontal="center" vertical="center"/>
    </xf>
    <xf numFmtId="14" fontId="5" fillId="0" borderId="36" xfId="0" applyNumberFormat="1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 wrapText="1"/>
    </xf>
    <xf numFmtId="14" fontId="5" fillId="0" borderId="29" xfId="0" applyNumberFormat="1" applyFont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5" borderId="3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45" wrapText="1"/>
    </xf>
    <xf numFmtId="0" fontId="3" fillId="0" borderId="6" xfId="0" applyFont="1" applyBorder="1" applyAlignment="1">
      <alignment horizontal="center" vertical="center" textRotation="45" wrapText="1"/>
    </xf>
    <xf numFmtId="0" fontId="5" fillId="0" borderId="1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14" fontId="5" fillId="6" borderId="32" xfId="0" applyNumberFormat="1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4" xfId="0" applyFont="1" applyFill="1" applyBorder="1" applyAlignment="1">
      <alignment horizontal="center" vertical="center" wrapText="1"/>
    </xf>
    <xf numFmtId="14" fontId="5" fillId="6" borderId="33" xfId="0" applyNumberFormat="1" applyFont="1" applyFill="1" applyBorder="1" applyAlignment="1">
      <alignment horizontal="center" vertical="center" wrapText="1"/>
    </xf>
    <xf numFmtId="14" fontId="5" fillId="6" borderId="6" xfId="0" applyNumberFormat="1" applyFont="1" applyFill="1" applyBorder="1" applyAlignment="1">
      <alignment horizontal="center" vertical="center" wrapText="1"/>
    </xf>
    <xf numFmtId="14" fontId="5" fillId="6" borderId="3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36"/>
  <sheetViews>
    <sheetView showFormulas="1" view="pageBreakPreview" zoomScale="115" zoomScaleNormal="100" zoomScaleSheetLayoutView="115" workbookViewId="0">
      <pane xSplit="2" ySplit="4" topLeftCell="C5" activePane="bottomRight" state="frozen"/>
      <selection activeCell="C2442" sqref="C2442"/>
      <selection pane="topRight" activeCell="C2442" sqref="C2442"/>
      <selection pane="bottomLeft" activeCell="C2442" sqref="C2442"/>
      <selection pane="bottomRight" activeCell="C2442" sqref="C2442"/>
    </sheetView>
  </sheetViews>
  <sheetFormatPr defaultRowHeight="12.75" x14ac:dyDescent="0.25"/>
  <cols>
    <col min="1" max="1" width="1.85546875" style="1" customWidth="1"/>
    <col min="2" max="2" width="5.7109375" style="2" customWidth="1"/>
    <col min="3" max="3" width="1.28515625" style="2" bestFit="1" customWidth="1"/>
    <col min="4" max="4" width="15.28515625" style="3" customWidth="1"/>
    <col min="5" max="5" width="5.85546875" style="2" customWidth="1"/>
    <col min="6" max="8" width="15.28515625" style="2" customWidth="1"/>
    <col min="9" max="9" width="5.7109375" style="2" bestFit="1" customWidth="1"/>
    <col min="10" max="11" width="15.28515625" style="2" customWidth="1"/>
    <col min="12" max="16384" width="9.140625" style="1"/>
  </cols>
  <sheetData>
    <row r="1" spans="2:11" x14ac:dyDescent="0.25">
      <c r="B1" s="56" t="s">
        <v>252</v>
      </c>
      <c r="C1" s="56"/>
      <c r="D1" s="56"/>
      <c r="E1" s="56"/>
      <c r="F1" s="56"/>
      <c r="G1" s="56"/>
      <c r="H1" s="56"/>
      <c r="I1" s="56"/>
      <c r="J1" s="56"/>
      <c r="K1" s="56"/>
    </row>
    <row r="2" spans="2:11" x14ac:dyDescent="0.25">
      <c r="B2" s="56" t="s">
        <v>251</v>
      </c>
      <c r="C2" s="56"/>
      <c r="D2" s="56"/>
      <c r="E2" s="56"/>
      <c r="F2" s="56"/>
      <c r="G2" s="56"/>
      <c r="H2" s="56"/>
      <c r="I2" s="56"/>
      <c r="J2" s="56"/>
      <c r="K2" s="56"/>
    </row>
    <row r="3" spans="2:11" s="4" customFormat="1" x14ac:dyDescent="0.25">
      <c r="B3" s="56" t="s">
        <v>2</v>
      </c>
      <c r="C3" s="56" t="s">
        <v>250</v>
      </c>
      <c r="D3" s="56"/>
      <c r="E3" s="56"/>
      <c r="F3" s="56"/>
      <c r="G3" s="56"/>
      <c r="H3" s="56" t="s">
        <v>0</v>
      </c>
      <c r="I3" s="56"/>
      <c r="J3" s="56"/>
      <c r="K3" s="56"/>
    </row>
    <row r="4" spans="2:11" s="4" customFormat="1" ht="33" customHeight="1" x14ac:dyDescent="0.25">
      <c r="B4" s="56"/>
      <c r="C4" s="56" t="s">
        <v>249</v>
      </c>
      <c r="D4" s="56"/>
      <c r="E4" s="13" t="s">
        <v>246</v>
      </c>
      <c r="F4" s="13" t="s">
        <v>248</v>
      </c>
      <c r="G4" s="12" t="s">
        <v>1</v>
      </c>
      <c r="H4" s="12" t="s">
        <v>247</v>
      </c>
      <c r="I4" s="13" t="s">
        <v>246</v>
      </c>
      <c r="J4" s="13" t="s">
        <v>245</v>
      </c>
      <c r="K4" s="12" t="s">
        <v>1</v>
      </c>
    </row>
    <row r="5" spans="2:11" s="4" customFormat="1" x14ac:dyDescent="0.25">
      <c r="B5" s="9"/>
      <c r="C5" s="9"/>
      <c r="D5" s="11"/>
      <c r="E5" s="10"/>
      <c r="F5" s="10"/>
      <c r="G5" s="9"/>
      <c r="H5" s="9"/>
      <c r="I5" s="10"/>
      <c r="J5" s="10"/>
      <c r="K5" s="9"/>
    </row>
    <row r="6" spans="2:11" x14ac:dyDescent="0.25">
      <c r="B6" s="54" t="s">
        <v>244</v>
      </c>
      <c r="C6" s="2">
        <v>1</v>
      </c>
      <c r="D6" s="3" t="s">
        <v>243</v>
      </c>
      <c r="E6" s="2">
        <v>2</v>
      </c>
    </row>
    <row r="7" spans="2:11" x14ac:dyDescent="0.25">
      <c r="B7" s="54"/>
      <c r="C7" s="2">
        <v>2</v>
      </c>
      <c r="D7" s="3" t="s">
        <v>242</v>
      </c>
      <c r="E7" s="2">
        <v>2</v>
      </c>
    </row>
    <row r="8" spans="2:11" x14ac:dyDescent="0.25">
      <c r="B8" s="54"/>
      <c r="C8" s="2">
        <v>3</v>
      </c>
      <c r="D8" s="3" t="s">
        <v>241</v>
      </c>
      <c r="E8" s="2">
        <v>2</v>
      </c>
    </row>
    <row r="9" spans="2:11" x14ac:dyDescent="0.25">
      <c r="B9" s="54"/>
      <c r="C9" s="2">
        <v>4</v>
      </c>
      <c r="D9" s="3" t="s">
        <v>240</v>
      </c>
      <c r="E9" s="2">
        <v>2</v>
      </c>
    </row>
    <row r="10" spans="2:11" s="4" customFormat="1" x14ac:dyDescent="0.25">
      <c r="B10" s="54"/>
      <c r="C10" s="5"/>
      <c r="D10" s="6" t="s">
        <v>235</v>
      </c>
      <c r="E10" s="8"/>
      <c r="F10" s="5"/>
      <c r="G10" s="5"/>
      <c r="H10" s="5"/>
      <c r="I10" s="5"/>
      <c r="J10" s="5"/>
      <c r="K10" s="5"/>
    </row>
    <row r="11" spans="2:11" x14ac:dyDescent="0.25">
      <c r="B11" s="54"/>
      <c r="C11" s="2">
        <v>1</v>
      </c>
      <c r="D11" s="3" t="s">
        <v>239</v>
      </c>
      <c r="E11" s="2">
        <v>2</v>
      </c>
    </row>
    <row r="12" spans="2:11" x14ac:dyDescent="0.25">
      <c r="B12" s="54"/>
      <c r="C12" s="2">
        <v>2</v>
      </c>
      <c r="D12" s="3" t="s">
        <v>238</v>
      </c>
      <c r="E12" s="2">
        <v>2</v>
      </c>
    </row>
    <row r="13" spans="2:11" x14ac:dyDescent="0.25">
      <c r="B13" s="54"/>
      <c r="C13" s="2">
        <v>3</v>
      </c>
      <c r="D13" s="3" t="s">
        <v>237</v>
      </c>
      <c r="E13" s="2">
        <v>1</v>
      </c>
    </row>
    <row r="14" spans="2:11" x14ac:dyDescent="0.25">
      <c r="B14" s="54"/>
      <c r="C14" s="2">
        <v>4</v>
      </c>
      <c r="D14" s="3" t="s">
        <v>236</v>
      </c>
      <c r="E14" s="2">
        <v>2</v>
      </c>
    </row>
    <row r="15" spans="2:11" s="4" customFormat="1" ht="14.25" customHeight="1" x14ac:dyDescent="0.25">
      <c r="B15" s="54"/>
      <c r="C15" s="5"/>
      <c r="D15" s="6" t="s">
        <v>235</v>
      </c>
      <c r="E15" s="5"/>
      <c r="F15" s="5"/>
      <c r="G15" s="5"/>
      <c r="H15" s="5"/>
      <c r="I15" s="5"/>
      <c r="J15" s="5"/>
      <c r="K15" s="5"/>
    </row>
    <row r="16" spans="2:11" s="4" customFormat="1" x14ac:dyDescent="0.25">
      <c r="B16" s="54"/>
      <c r="C16" s="2">
        <v>1</v>
      </c>
      <c r="D16" s="3" t="s">
        <v>234</v>
      </c>
      <c r="E16" s="2">
        <v>2</v>
      </c>
      <c r="F16" s="2"/>
      <c r="G16" s="2"/>
      <c r="H16" s="2"/>
      <c r="I16" s="2"/>
      <c r="J16" s="2"/>
      <c r="K16" s="2"/>
    </row>
    <row r="17" spans="2:11" s="4" customFormat="1" x14ac:dyDescent="0.25">
      <c r="B17" s="54"/>
      <c r="C17" s="2">
        <v>2</v>
      </c>
      <c r="D17" s="3" t="s">
        <v>233</v>
      </c>
      <c r="E17" s="2">
        <v>2</v>
      </c>
      <c r="F17" s="2"/>
      <c r="G17" s="2"/>
      <c r="H17" s="2"/>
      <c r="I17" s="2"/>
      <c r="J17" s="2"/>
      <c r="K17" s="2"/>
    </row>
    <row r="18" spans="2:11" s="4" customFormat="1" x14ac:dyDescent="0.25">
      <c r="B18" s="54"/>
      <c r="C18" s="2">
        <v>3</v>
      </c>
      <c r="D18" s="3" t="s">
        <v>232</v>
      </c>
      <c r="E18" s="2">
        <v>3</v>
      </c>
      <c r="F18" s="2"/>
      <c r="G18" s="2"/>
      <c r="H18" s="2"/>
      <c r="I18" s="2"/>
      <c r="J18" s="2"/>
      <c r="K18" s="2"/>
    </row>
    <row r="19" spans="2:11" s="4" customFormat="1" x14ac:dyDescent="0.25">
      <c r="B19" s="54"/>
      <c r="C19" s="2">
        <v>4</v>
      </c>
      <c r="D19" s="3" t="s">
        <v>231</v>
      </c>
      <c r="E19" s="2">
        <v>2</v>
      </c>
      <c r="F19" s="2"/>
      <c r="G19" s="2"/>
      <c r="H19" s="2"/>
      <c r="I19" s="2"/>
      <c r="J19" s="2"/>
      <c r="K19" s="2"/>
    </row>
    <row r="20" spans="2:11" s="4" customFormat="1" ht="15.75" customHeight="1" x14ac:dyDescent="0.25">
      <c r="B20" s="54"/>
      <c r="C20" s="5"/>
      <c r="D20" s="6" t="s">
        <v>77</v>
      </c>
      <c r="E20" s="5"/>
      <c r="F20" s="5"/>
      <c r="G20" s="5"/>
      <c r="H20" s="5"/>
      <c r="I20" s="5"/>
      <c r="J20" s="5"/>
      <c r="K20" s="5"/>
    </row>
    <row r="21" spans="2:11" s="4" customFormat="1" x14ac:dyDescent="0.25">
      <c r="B21" s="54"/>
      <c r="C21" s="2">
        <v>1</v>
      </c>
      <c r="D21" s="3" t="s">
        <v>233</v>
      </c>
      <c r="E21" s="2">
        <v>2</v>
      </c>
      <c r="F21" s="2"/>
      <c r="G21" s="2"/>
      <c r="H21" s="2"/>
      <c r="I21" s="2"/>
      <c r="J21" s="2"/>
      <c r="K21" s="2"/>
    </row>
    <row r="22" spans="2:11" s="4" customFormat="1" x14ac:dyDescent="0.25">
      <c r="B22" s="54"/>
      <c r="C22" s="2">
        <v>2</v>
      </c>
      <c r="D22" s="3" t="s">
        <v>232</v>
      </c>
      <c r="E22" s="2">
        <v>3</v>
      </c>
      <c r="F22" s="2"/>
      <c r="G22" s="2"/>
      <c r="H22" s="2"/>
      <c r="I22" s="2"/>
      <c r="J22" s="2"/>
      <c r="K22" s="2"/>
    </row>
    <row r="23" spans="2:11" s="4" customFormat="1" x14ac:dyDescent="0.25">
      <c r="B23" s="54"/>
      <c r="C23" s="2">
        <v>3</v>
      </c>
      <c r="D23" s="3" t="s">
        <v>231</v>
      </c>
      <c r="E23" s="2">
        <v>2</v>
      </c>
      <c r="F23" s="2"/>
      <c r="G23" s="2"/>
      <c r="H23" s="2"/>
      <c r="I23" s="2"/>
      <c r="J23" s="2"/>
      <c r="K23" s="2"/>
    </row>
    <row r="24" spans="2:11" s="4" customFormat="1" x14ac:dyDescent="0.25">
      <c r="B24" s="54"/>
      <c r="C24" s="5"/>
      <c r="D24" s="6" t="s">
        <v>77</v>
      </c>
      <c r="E24" s="5"/>
      <c r="F24" s="5"/>
      <c r="G24" s="5"/>
      <c r="H24" s="5"/>
      <c r="I24" s="5"/>
      <c r="J24" s="5"/>
      <c r="K24" s="5"/>
    </row>
    <row r="25" spans="2:11" s="4" customFormat="1" x14ac:dyDescent="0.25">
      <c r="B25" s="54"/>
      <c r="C25" s="2">
        <v>1</v>
      </c>
      <c r="D25" s="3" t="s">
        <v>230</v>
      </c>
      <c r="E25" s="2">
        <v>2</v>
      </c>
      <c r="F25" s="2"/>
      <c r="G25" s="2"/>
      <c r="H25" s="2"/>
      <c r="I25" s="2"/>
      <c r="J25" s="2"/>
      <c r="K25" s="2"/>
    </row>
    <row r="26" spans="2:11" s="4" customFormat="1" x14ac:dyDescent="0.25">
      <c r="B26" s="54"/>
      <c r="C26" s="2">
        <v>2</v>
      </c>
      <c r="D26" s="3" t="s">
        <v>229</v>
      </c>
      <c r="E26" s="2">
        <v>4</v>
      </c>
      <c r="F26" s="2"/>
      <c r="G26" s="2"/>
      <c r="H26" s="2"/>
      <c r="I26" s="2"/>
      <c r="J26" s="2"/>
      <c r="K26" s="2"/>
    </row>
    <row r="27" spans="2:11" s="4" customFormat="1" x14ac:dyDescent="0.25">
      <c r="B27" s="54"/>
      <c r="C27" s="2">
        <v>3</v>
      </c>
      <c r="D27" s="3" t="s">
        <v>228</v>
      </c>
      <c r="E27" s="2">
        <v>2</v>
      </c>
      <c r="F27" s="2"/>
      <c r="G27" s="2"/>
      <c r="H27" s="2"/>
      <c r="I27" s="2"/>
      <c r="J27" s="2"/>
      <c r="K27" s="2"/>
    </row>
    <row r="28" spans="2:11" s="4" customFormat="1" x14ac:dyDescent="0.25">
      <c r="B28" s="54"/>
      <c r="C28" s="5"/>
      <c r="D28" s="6" t="s">
        <v>77</v>
      </c>
      <c r="E28" s="5"/>
      <c r="F28" s="5"/>
      <c r="G28" s="5"/>
      <c r="H28" s="5"/>
      <c r="I28" s="5"/>
      <c r="J28" s="5"/>
      <c r="K28" s="5"/>
    </row>
    <row r="29" spans="2:11" s="4" customFormat="1" x14ac:dyDescent="0.25">
      <c r="B29" s="54"/>
      <c r="C29" s="2">
        <v>1</v>
      </c>
      <c r="D29" s="3" t="s">
        <v>210</v>
      </c>
      <c r="E29" s="2">
        <v>2</v>
      </c>
      <c r="F29" s="2"/>
      <c r="G29" s="2"/>
      <c r="H29" s="2"/>
      <c r="I29" s="2"/>
      <c r="J29" s="2"/>
      <c r="K29" s="2"/>
    </row>
    <row r="30" spans="2:11" s="4" customFormat="1" x14ac:dyDescent="0.25">
      <c r="B30" s="54"/>
      <c r="C30" s="2">
        <v>2</v>
      </c>
      <c r="D30" s="3" t="s">
        <v>228</v>
      </c>
      <c r="E30" s="2">
        <v>2</v>
      </c>
      <c r="F30" s="2"/>
      <c r="G30" s="2"/>
      <c r="H30" s="2"/>
      <c r="I30" s="2"/>
      <c r="J30" s="2"/>
      <c r="K30" s="2"/>
    </row>
    <row r="31" spans="2:11" s="4" customFormat="1" x14ac:dyDescent="0.25">
      <c r="B31" s="54"/>
      <c r="C31" s="5"/>
      <c r="D31" s="6" t="s">
        <v>77</v>
      </c>
      <c r="E31" s="5"/>
      <c r="F31" s="5"/>
      <c r="G31" s="5"/>
      <c r="H31" s="5"/>
      <c r="I31" s="5"/>
      <c r="J31" s="5"/>
      <c r="K31" s="5"/>
    </row>
    <row r="32" spans="2:11" s="4" customFormat="1" x14ac:dyDescent="0.25">
      <c r="B32" s="54"/>
      <c r="C32" s="2">
        <v>1</v>
      </c>
      <c r="D32" s="3" t="s">
        <v>227</v>
      </c>
      <c r="E32" s="2">
        <v>1</v>
      </c>
      <c r="F32" s="2"/>
      <c r="G32" s="2"/>
      <c r="H32" s="2"/>
      <c r="I32" s="2"/>
      <c r="J32" s="2"/>
      <c r="K32" s="2"/>
    </row>
    <row r="33" spans="2:11" s="4" customFormat="1" x14ac:dyDescent="0.25">
      <c r="B33" s="54"/>
      <c r="C33" s="2">
        <v>2</v>
      </c>
      <c r="D33" s="3" t="s">
        <v>88</v>
      </c>
      <c r="E33" s="2">
        <v>1</v>
      </c>
      <c r="F33" s="2"/>
      <c r="G33" s="2"/>
      <c r="H33" s="2"/>
      <c r="I33" s="2"/>
      <c r="J33" s="2"/>
      <c r="K33" s="2"/>
    </row>
    <row r="34" spans="2:11" s="4" customFormat="1" x14ac:dyDescent="0.25">
      <c r="B34" s="54"/>
      <c r="C34" s="5"/>
      <c r="D34" s="6" t="s">
        <v>77</v>
      </c>
      <c r="E34" s="5"/>
      <c r="F34" s="5"/>
      <c r="G34" s="5"/>
      <c r="H34" s="5"/>
      <c r="I34" s="5"/>
      <c r="J34" s="5"/>
      <c r="K34" s="5"/>
    </row>
    <row r="35" spans="2:11" x14ac:dyDescent="0.25">
      <c r="B35" s="54"/>
      <c r="C35" s="2">
        <v>1</v>
      </c>
      <c r="D35" s="3" t="s">
        <v>226</v>
      </c>
      <c r="E35" s="2">
        <v>1</v>
      </c>
    </row>
    <row r="36" spans="2:11" x14ac:dyDescent="0.25">
      <c r="B36" s="54"/>
      <c r="C36" s="2">
        <v>2</v>
      </c>
      <c r="D36" s="3" t="s">
        <v>225</v>
      </c>
      <c r="E36" s="2">
        <v>1</v>
      </c>
    </row>
    <row r="37" spans="2:11" x14ac:dyDescent="0.25">
      <c r="B37" s="54"/>
      <c r="C37" s="2">
        <v>3</v>
      </c>
      <c r="D37" s="3" t="s">
        <v>215</v>
      </c>
      <c r="E37" s="2">
        <v>3</v>
      </c>
    </row>
    <row r="38" spans="2:11" x14ac:dyDescent="0.25">
      <c r="B38" s="54"/>
      <c r="C38" s="2">
        <v>4</v>
      </c>
      <c r="D38" s="3" t="s">
        <v>223</v>
      </c>
      <c r="E38" s="2">
        <v>2</v>
      </c>
    </row>
    <row r="39" spans="2:11" s="4" customFormat="1" ht="14.25" customHeight="1" x14ac:dyDescent="0.25">
      <c r="B39" s="54"/>
      <c r="C39" s="5"/>
      <c r="D39" s="6" t="s">
        <v>77</v>
      </c>
      <c r="E39" s="5"/>
      <c r="F39" s="5"/>
      <c r="G39" s="5"/>
      <c r="H39" s="5"/>
      <c r="I39" s="5"/>
      <c r="J39" s="5"/>
      <c r="K39" s="5"/>
    </row>
    <row r="40" spans="2:11" x14ac:dyDescent="0.25">
      <c r="B40" s="54"/>
      <c r="C40" s="2">
        <v>1</v>
      </c>
      <c r="D40" s="3" t="s">
        <v>224</v>
      </c>
      <c r="E40" s="2">
        <v>2</v>
      </c>
    </row>
    <row r="41" spans="2:11" x14ac:dyDescent="0.25">
      <c r="B41" s="54"/>
      <c r="C41" s="2">
        <v>2</v>
      </c>
      <c r="D41" s="3" t="s">
        <v>215</v>
      </c>
      <c r="E41" s="2">
        <v>4</v>
      </c>
    </row>
    <row r="42" spans="2:11" x14ac:dyDescent="0.25">
      <c r="B42" s="54"/>
      <c r="C42" s="2">
        <v>3</v>
      </c>
      <c r="D42" s="3" t="s">
        <v>223</v>
      </c>
      <c r="E42" s="2">
        <v>2</v>
      </c>
    </row>
    <row r="43" spans="2:11" s="4" customFormat="1" ht="14.25" customHeight="1" x14ac:dyDescent="0.25">
      <c r="B43" s="54"/>
      <c r="C43" s="5"/>
      <c r="D43" s="6" t="s">
        <v>77</v>
      </c>
      <c r="E43" s="5"/>
      <c r="F43" s="5"/>
      <c r="G43" s="5"/>
      <c r="H43" s="5"/>
      <c r="I43" s="5"/>
      <c r="J43" s="5"/>
      <c r="K43" s="5"/>
    </row>
    <row r="44" spans="2:11" x14ac:dyDescent="0.25">
      <c r="B44" s="54"/>
      <c r="C44" s="2">
        <v>1</v>
      </c>
      <c r="D44" s="3" t="s">
        <v>221</v>
      </c>
      <c r="E44" s="2">
        <v>1</v>
      </c>
    </row>
    <row r="45" spans="2:11" x14ac:dyDescent="0.25">
      <c r="B45" s="54"/>
      <c r="C45" s="2">
        <v>2</v>
      </c>
      <c r="D45" s="3" t="s">
        <v>215</v>
      </c>
      <c r="E45" s="2">
        <v>2</v>
      </c>
    </row>
    <row r="46" spans="2:11" x14ac:dyDescent="0.25">
      <c r="B46" s="54"/>
      <c r="C46" s="2">
        <v>3</v>
      </c>
      <c r="D46" s="3" t="s">
        <v>222</v>
      </c>
      <c r="E46" s="2">
        <v>2</v>
      </c>
    </row>
    <row r="47" spans="2:11" s="4" customFormat="1" ht="14.25" customHeight="1" x14ac:dyDescent="0.25">
      <c r="B47" s="54"/>
      <c r="C47" s="5"/>
      <c r="D47" s="6" t="s">
        <v>77</v>
      </c>
      <c r="E47" s="5"/>
      <c r="F47" s="5"/>
      <c r="G47" s="5"/>
      <c r="H47" s="5"/>
      <c r="I47" s="5"/>
      <c r="J47" s="5"/>
      <c r="K47" s="5"/>
    </row>
    <row r="48" spans="2:11" x14ac:dyDescent="0.25">
      <c r="B48" s="54"/>
      <c r="C48" s="2">
        <v>1</v>
      </c>
      <c r="D48" s="3" t="s">
        <v>221</v>
      </c>
      <c r="E48" s="2">
        <v>1</v>
      </c>
    </row>
    <row r="49" spans="2:11" x14ac:dyDescent="0.25">
      <c r="B49" s="54"/>
      <c r="C49" s="2">
        <v>2</v>
      </c>
      <c r="D49" s="3" t="s">
        <v>215</v>
      </c>
      <c r="E49" s="2">
        <v>3</v>
      </c>
    </row>
    <row r="50" spans="2:11" s="4" customFormat="1" ht="14.25" customHeight="1" x14ac:dyDescent="0.25">
      <c r="B50" s="54"/>
      <c r="C50" s="5"/>
      <c r="D50" s="6" t="s">
        <v>77</v>
      </c>
      <c r="E50" s="5"/>
      <c r="F50" s="5"/>
      <c r="G50" s="5"/>
      <c r="H50" s="5"/>
      <c r="I50" s="5"/>
      <c r="J50" s="5"/>
      <c r="K50" s="5"/>
    </row>
    <row r="51" spans="2:11" x14ac:dyDescent="0.25">
      <c r="B51" s="54"/>
      <c r="C51" s="2">
        <v>1</v>
      </c>
      <c r="D51" s="3" t="s">
        <v>215</v>
      </c>
      <c r="E51" s="2">
        <v>3</v>
      </c>
    </row>
    <row r="52" spans="2:11" x14ac:dyDescent="0.25">
      <c r="B52" s="54"/>
      <c r="C52" s="2">
        <v>2</v>
      </c>
      <c r="D52" s="3" t="s">
        <v>220</v>
      </c>
      <c r="E52" s="2">
        <v>2</v>
      </c>
    </row>
    <row r="53" spans="2:11" x14ac:dyDescent="0.25">
      <c r="B53" s="54"/>
      <c r="C53" s="2">
        <v>3</v>
      </c>
      <c r="D53" s="3" t="s">
        <v>219</v>
      </c>
      <c r="E53" s="2">
        <v>2</v>
      </c>
    </row>
    <row r="54" spans="2:11" x14ac:dyDescent="0.25">
      <c r="B54" s="54"/>
      <c r="C54" s="2">
        <v>4</v>
      </c>
      <c r="D54" s="3" t="s">
        <v>218</v>
      </c>
      <c r="E54" s="2">
        <v>2</v>
      </c>
    </row>
    <row r="55" spans="2:11" s="4" customFormat="1" ht="14.25" customHeight="1" x14ac:dyDescent="0.25">
      <c r="B55" s="54"/>
      <c r="C55" s="5"/>
      <c r="D55" s="6" t="s">
        <v>77</v>
      </c>
      <c r="E55" s="5">
        <f>SUM(E51:E54)</f>
        <v>9</v>
      </c>
      <c r="F55" s="5"/>
      <c r="G55" s="5"/>
      <c r="H55" s="5"/>
      <c r="I55" s="5"/>
      <c r="J55" s="5"/>
      <c r="K55" s="5"/>
    </row>
    <row r="56" spans="2:11" x14ac:dyDescent="0.25">
      <c r="B56" s="54"/>
      <c r="C56" s="2">
        <v>1</v>
      </c>
      <c r="D56" s="3" t="s">
        <v>215</v>
      </c>
      <c r="E56" s="2">
        <v>3</v>
      </c>
    </row>
    <row r="57" spans="2:11" x14ac:dyDescent="0.25">
      <c r="B57" s="54"/>
      <c r="C57" s="2">
        <v>2</v>
      </c>
      <c r="D57" s="3" t="s">
        <v>208</v>
      </c>
      <c r="E57" s="2">
        <v>2</v>
      </c>
    </row>
    <row r="58" spans="2:11" x14ac:dyDescent="0.25">
      <c r="B58" s="54"/>
      <c r="C58" s="2">
        <v>3</v>
      </c>
      <c r="D58" s="3" t="s">
        <v>217</v>
      </c>
      <c r="E58" s="2">
        <v>1</v>
      </c>
    </row>
    <row r="59" spans="2:11" s="4" customFormat="1" ht="14.25" customHeight="1" x14ac:dyDescent="0.25">
      <c r="B59" s="54"/>
      <c r="C59" s="5"/>
      <c r="D59" s="6" t="s">
        <v>77</v>
      </c>
      <c r="E59" s="5">
        <f>SUM(E56:E58)</f>
        <v>6</v>
      </c>
      <c r="F59" s="5"/>
      <c r="G59" s="5"/>
      <c r="H59" s="5"/>
      <c r="I59" s="5"/>
      <c r="J59" s="5"/>
      <c r="K59" s="5"/>
    </row>
    <row r="60" spans="2:11" x14ac:dyDescent="0.25">
      <c r="B60" s="54"/>
      <c r="C60" s="2">
        <v>1</v>
      </c>
      <c r="D60" s="3" t="s">
        <v>215</v>
      </c>
      <c r="E60" s="2">
        <v>3</v>
      </c>
    </row>
    <row r="61" spans="2:11" x14ac:dyDescent="0.25">
      <c r="B61" s="54"/>
      <c r="C61" s="2">
        <v>2</v>
      </c>
      <c r="D61" s="3" t="s">
        <v>216</v>
      </c>
      <c r="E61" s="2">
        <v>2</v>
      </c>
    </row>
    <row r="62" spans="2:11" s="4" customFormat="1" ht="14.25" customHeight="1" x14ac:dyDescent="0.25">
      <c r="B62" s="54"/>
      <c r="C62" s="5"/>
      <c r="D62" s="6" t="s">
        <v>77</v>
      </c>
      <c r="E62" s="5">
        <f>SUM(E60:E61)</f>
        <v>5</v>
      </c>
      <c r="F62" s="5"/>
      <c r="G62" s="5"/>
      <c r="H62" s="5"/>
      <c r="I62" s="5"/>
      <c r="J62" s="5"/>
      <c r="K62" s="5"/>
    </row>
    <row r="63" spans="2:11" x14ac:dyDescent="0.25">
      <c r="B63" s="54"/>
      <c r="C63" s="2">
        <v>1</v>
      </c>
      <c r="D63" s="3" t="s">
        <v>215</v>
      </c>
      <c r="E63" s="2">
        <v>3</v>
      </c>
    </row>
    <row r="64" spans="2:11" x14ac:dyDescent="0.25">
      <c r="B64" s="54"/>
      <c r="C64" s="2">
        <v>2</v>
      </c>
      <c r="D64" s="3" t="s">
        <v>208</v>
      </c>
      <c r="E64" s="2">
        <v>2</v>
      </c>
    </row>
    <row r="65" spans="2:11" x14ac:dyDescent="0.25">
      <c r="B65" s="54"/>
      <c r="C65" s="2">
        <v>3</v>
      </c>
      <c r="D65" s="3" t="s">
        <v>213</v>
      </c>
      <c r="E65" s="2">
        <v>2</v>
      </c>
    </row>
    <row r="66" spans="2:11" s="4" customFormat="1" ht="14.25" customHeight="1" x14ac:dyDescent="0.25">
      <c r="B66" s="54"/>
      <c r="C66" s="5"/>
      <c r="D66" s="6" t="s">
        <v>77</v>
      </c>
      <c r="E66" s="5">
        <f>SUM(E63:E65)</f>
        <v>7</v>
      </c>
      <c r="F66" s="5"/>
      <c r="G66" s="5"/>
      <c r="H66" s="5"/>
      <c r="I66" s="5"/>
      <c r="J66" s="5"/>
      <c r="K66" s="5"/>
    </row>
    <row r="67" spans="2:11" x14ac:dyDescent="0.25">
      <c r="B67" s="54"/>
      <c r="C67" s="2">
        <v>1</v>
      </c>
      <c r="D67" s="3" t="s">
        <v>214</v>
      </c>
      <c r="E67" s="2">
        <v>2</v>
      </c>
    </row>
    <row r="68" spans="2:11" x14ac:dyDescent="0.25">
      <c r="B68" s="54"/>
      <c r="C68" s="2">
        <v>2</v>
      </c>
      <c r="D68" s="3" t="s">
        <v>208</v>
      </c>
      <c r="E68" s="2">
        <v>2</v>
      </c>
    </row>
    <row r="69" spans="2:11" x14ac:dyDescent="0.25">
      <c r="B69" s="54"/>
      <c r="C69" s="2">
        <v>3</v>
      </c>
      <c r="D69" s="3" t="s">
        <v>213</v>
      </c>
      <c r="E69" s="2">
        <v>2</v>
      </c>
    </row>
    <row r="70" spans="2:11" s="4" customFormat="1" ht="14.25" customHeight="1" x14ac:dyDescent="0.25">
      <c r="B70" s="54"/>
      <c r="C70" s="5"/>
      <c r="D70" s="6" t="s">
        <v>77</v>
      </c>
      <c r="E70" s="5">
        <f>SUM(E67:E69)</f>
        <v>6</v>
      </c>
      <c r="F70" s="5"/>
      <c r="G70" s="5"/>
      <c r="H70" s="5"/>
      <c r="I70" s="5"/>
      <c r="J70" s="5"/>
      <c r="K70" s="5"/>
    </row>
    <row r="71" spans="2:11" x14ac:dyDescent="0.25">
      <c r="B71" s="54"/>
      <c r="C71" s="2">
        <v>1</v>
      </c>
      <c r="D71" s="3" t="s">
        <v>212</v>
      </c>
      <c r="E71" s="2">
        <v>2</v>
      </c>
    </row>
    <row r="72" spans="2:11" s="4" customFormat="1" ht="14.25" customHeight="1" x14ac:dyDescent="0.25">
      <c r="B72" s="54"/>
      <c r="C72" s="5"/>
      <c r="D72" s="6" t="s">
        <v>77</v>
      </c>
      <c r="E72" s="5">
        <f>SUM(E71:E71)</f>
        <v>2</v>
      </c>
      <c r="F72" s="5"/>
      <c r="G72" s="5"/>
      <c r="H72" s="5"/>
      <c r="I72" s="5"/>
      <c r="J72" s="5"/>
      <c r="K72" s="5"/>
    </row>
    <row r="73" spans="2:11" x14ac:dyDescent="0.25">
      <c r="B73" s="54"/>
      <c r="C73" s="2">
        <v>1</v>
      </c>
      <c r="D73" s="3" t="s">
        <v>211</v>
      </c>
      <c r="E73" s="2">
        <v>2</v>
      </c>
    </row>
    <row r="74" spans="2:11" x14ac:dyDescent="0.25">
      <c r="B74" s="54"/>
      <c r="C74" s="2">
        <v>2</v>
      </c>
      <c r="D74" s="3" t="s">
        <v>210</v>
      </c>
      <c r="E74" s="2">
        <v>2</v>
      </c>
    </row>
    <row r="75" spans="2:11" x14ac:dyDescent="0.25">
      <c r="B75" s="54"/>
      <c r="C75" s="2">
        <v>3</v>
      </c>
      <c r="D75" s="3" t="s">
        <v>207</v>
      </c>
      <c r="E75" s="2">
        <v>2</v>
      </c>
    </row>
    <row r="76" spans="2:11" x14ac:dyDescent="0.25">
      <c r="B76" s="54"/>
      <c r="C76" s="2">
        <v>4</v>
      </c>
      <c r="D76" s="3" t="s">
        <v>209</v>
      </c>
      <c r="E76" s="2">
        <v>2</v>
      </c>
    </row>
    <row r="77" spans="2:11" s="4" customFormat="1" ht="14.25" customHeight="1" x14ac:dyDescent="0.25">
      <c r="B77" s="54"/>
      <c r="C77" s="5"/>
      <c r="D77" s="6" t="s">
        <v>77</v>
      </c>
      <c r="E77" s="5">
        <f>SUM(E73:E76)</f>
        <v>8</v>
      </c>
      <c r="F77" s="5"/>
      <c r="G77" s="5"/>
      <c r="H77" s="5"/>
      <c r="I77" s="5"/>
      <c r="J77" s="5"/>
      <c r="K77" s="5"/>
    </row>
    <row r="78" spans="2:11" x14ac:dyDescent="0.25">
      <c r="B78" s="54"/>
      <c r="C78" s="2">
        <v>1</v>
      </c>
      <c r="D78" s="3" t="s">
        <v>80</v>
      </c>
      <c r="E78" s="2">
        <v>2</v>
      </c>
    </row>
    <row r="79" spans="2:11" x14ac:dyDescent="0.25">
      <c r="B79" s="54"/>
      <c r="C79" s="2">
        <v>2</v>
      </c>
      <c r="D79" s="3" t="s">
        <v>208</v>
      </c>
      <c r="E79" s="2">
        <v>2</v>
      </c>
    </row>
    <row r="80" spans="2:11" x14ac:dyDescent="0.25">
      <c r="B80" s="54"/>
      <c r="C80" s="2">
        <v>3</v>
      </c>
      <c r="D80" s="3" t="s">
        <v>207</v>
      </c>
      <c r="E80" s="2">
        <v>2</v>
      </c>
    </row>
    <row r="81" spans="2:11" x14ac:dyDescent="0.25">
      <c r="B81" s="54"/>
      <c r="C81" s="2">
        <v>4</v>
      </c>
      <c r="D81" s="3" t="s">
        <v>206</v>
      </c>
      <c r="E81" s="2">
        <v>2</v>
      </c>
    </row>
    <row r="82" spans="2:11" s="4" customFormat="1" ht="14.25" customHeight="1" x14ac:dyDescent="0.25">
      <c r="B82" s="54"/>
      <c r="C82" s="5"/>
      <c r="D82" s="6" t="s">
        <v>77</v>
      </c>
      <c r="E82" s="5">
        <f>SUM(E78:E81)</f>
        <v>8</v>
      </c>
      <c r="F82" s="5"/>
      <c r="G82" s="5"/>
      <c r="H82" s="5"/>
      <c r="I82" s="5"/>
      <c r="J82" s="5"/>
      <c r="K82" s="5"/>
    </row>
    <row r="83" spans="2:11" x14ac:dyDescent="0.25">
      <c r="B83" s="54"/>
      <c r="C83" s="2">
        <v>1</v>
      </c>
      <c r="D83" s="3" t="s">
        <v>80</v>
      </c>
      <c r="E83" s="2">
        <v>2</v>
      </c>
    </row>
    <row r="84" spans="2:11" x14ac:dyDescent="0.25">
      <c r="B84" s="54"/>
      <c r="C84" s="2">
        <v>2</v>
      </c>
      <c r="D84" s="3" t="s">
        <v>203</v>
      </c>
      <c r="E84" s="2">
        <v>2</v>
      </c>
    </row>
    <row r="85" spans="2:11" x14ac:dyDescent="0.25">
      <c r="B85" s="54"/>
      <c r="C85" s="2">
        <v>3</v>
      </c>
      <c r="D85" s="3" t="s">
        <v>205</v>
      </c>
      <c r="E85" s="2">
        <v>2</v>
      </c>
    </row>
    <row r="86" spans="2:11" x14ac:dyDescent="0.25">
      <c r="B86" s="54"/>
      <c r="C86" s="2">
        <v>4</v>
      </c>
      <c r="D86" s="3" t="s">
        <v>204</v>
      </c>
      <c r="E86" s="2">
        <v>2</v>
      </c>
    </row>
    <row r="87" spans="2:11" s="4" customFormat="1" ht="14.25" customHeight="1" x14ac:dyDescent="0.25">
      <c r="B87" s="54"/>
      <c r="C87" s="5"/>
      <c r="D87" s="6" t="s">
        <v>77</v>
      </c>
      <c r="E87" s="5">
        <f>SUM(E83:E86)</f>
        <v>8</v>
      </c>
      <c r="F87" s="5"/>
      <c r="G87" s="5"/>
      <c r="H87" s="5"/>
      <c r="I87" s="5"/>
      <c r="J87" s="5"/>
      <c r="K87" s="5"/>
    </row>
    <row r="88" spans="2:11" x14ac:dyDescent="0.25">
      <c r="B88" s="54"/>
      <c r="C88" s="2">
        <v>1</v>
      </c>
      <c r="D88" s="3" t="s">
        <v>80</v>
      </c>
      <c r="E88" s="2">
        <v>2</v>
      </c>
    </row>
    <row r="89" spans="2:11" x14ac:dyDescent="0.25">
      <c r="B89" s="54"/>
      <c r="C89" s="2">
        <v>2</v>
      </c>
      <c r="D89" s="3" t="s">
        <v>203</v>
      </c>
      <c r="E89" s="2">
        <v>2</v>
      </c>
    </row>
    <row r="90" spans="2:11" x14ac:dyDescent="0.25">
      <c r="B90" s="54"/>
      <c r="C90" s="2">
        <v>3</v>
      </c>
      <c r="D90" s="3" t="s">
        <v>202</v>
      </c>
      <c r="E90" s="2">
        <v>2</v>
      </c>
    </row>
    <row r="91" spans="2:11" x14ac:dyDescent="0.25">
      <c r="B91" s="54"/>
      <c r="C91" s="2">
        <v>4</v>
      </c>
      <c r="D91" s="3" t="s">
        <v>201</v>
      </c>
      <c r="E91" s="2">
        <v>2</v>
      </c>
    </row>
    <row r="92" spans="2:11" s="4" customFormat="1" ht="14.25" customHeight="1" x14ac:dyDescent="0.25">
      <c r="B92" s="54"/>
      <c r="C92" s="5"/>
      <c r="D92" s="6" t="s">
        <v>77</v>
      </c>
      <c r="E92" s="5">
        <f>SUM(E88:E91)</f>
        <v>8</v>
      </c>
      <c r="F92" s="5"/>
      <c r="G92" s="5"/>
      <c r="H92" s="5"/>
      <c r="I92" s="5"/>
      <c r="J92" s="5"/>
      <c r="K92" s="5"/>
    </row>
    <row r="93" spans="2:11" x14ac:dyDescent="0.25">
      <c r="B93" s="54"/>
      <c r="C93" s="2">
        <v>1</v>
      </c>
      <c r="D93" s="3" t="s">
        <v>80</v>
      </c>
      <c r="E93" s="2">
        <v>3</v>
      </c>
    </row>
    <row r="94" spans="2:11" x14ac:dyDescent="0.25">
      <c r="B94" s="54"/>
      <c r="C94" s="2">
        <v>2</v>
      </c>
      <c r="D94" s="3" t="s">
        <v>25</v>
      </c>
      <c r="E94" s="2">
        <v>3</v>
      </c>
    </row>
    <row r="95" spans="2:11" x14ac:dyDescent="0.25">
      <c r="B95" s="54"/>
      <c r="C95" s="2">
        <v>3</v>
      </c>
      <c r="D95" s="3" t="s">
        <v>200</v>
      </c>
      <c r="E95" s="2">
        <v>2</v>
      </c>
    </row>
    <row r="96" spans="2:11" x14ac:dyDescent="0.25">
      <c r="B96" s="54"/>
      <c r="C96" s="2">
        <v>4</v>
      </c>
      <c r="D96" s="3" t="s">
        <v>199</v>
      </c>
      <c r="E96" s="2">
        <v>1</v>
      </c>
    </row>
    <row r="97" spans="2:11" s="4" customFormat="1" ht="14.25" customHeight="1" x14ac:dyDescent="0.25">
      <c r="B97" s="54"/>
      <c r="C97" s="5"/>
      <c r="D97" s="6" t="s">
        <v>77</v>
      </c>
      <c r="E97" s="5">
        <f>SUM(E93:E96)</f>
        <v>9</v>
      </c>
      <c r="F97" s="5"/>
      <c r="G97" s="5"/>
      <c r="H97" s="5"/>
      <c r="I97" s="5"/>
      <c r="J97" s="5"/>
      <c r="K97" s="5"/>
    </row>
    <row r="99" spans="2:11" x14ac:dyDescent="0.25">
      <c r="B99" s="54"/>
      <c r="C99" s="2">
        <v>1</v>
      </c>
      <c r="D99" s="3" t="s">
        <v>80</v>
      </c>
      <c r="E99" s="2">
        <v>4</v>
      </c>
    </row>
    <row r="100" spans="2:11" x14ac:dyDescent="0.25">
      <c r="B100" s="54"/>
      <c r="C100" s="2">
        <v>2</v>
      </c>
      <c r="D100" s="3" t="s">
        <v>25</v>
      </c>
      <c r="E100" s="2">
        <v>3</v>
      </c>
    </row>
    <row r="101" spans="2:11" x14ac:dyDescent="0.25">
      <c r="B101" s="54"/>
      <c r="C101" s="2">
        <v>3</v>
      </c>
      <c r="D101" s="3" t="s">
        <v>198</v>
      </c>
      <c r="E101" s="2">
        <v>2</v>
      </c>
    </row>
    <row r="102" spans="2:11" s="4" customFormat="1" ht="14.25" customHeight="1" x14ac:dyDescent="0.25">
      <c r="B102" s="54"/>
      <c r="C102" s="5"/>
      <c r="D102" s="6" t="s">
        <v>77</v>
      </c>
      <c r="E102" s="5">
        <f>SUM(E99:E101)</f>
        <v>9</v>
      </c>
      <c r="F102" s="5"/>
      <c r="G102" s="5"/>
      <c r="H102" s="5"/>
      <c r="I102" s="5"/>
      <c r="J102" s="5"/>
      <c r="K102" s="5"/>
    </row>
    <row r="103" spans="2:11" x14ac:dyDescent="0.25">
      <c r="B103" s="54"/>
      <c r="C103" s="2">
        <v>1</v>
      </c>
      <c r="D103" s="3" t="s">
        <v>197</v>
      </c>
      <c r="E103" s="2">
        <v>2</v>
      </c>
    </row>
    <row r="104" spans="2:11" s="4" customFormat="1" ht="14.25" customHeight="1" x14ac:dyDescent="0.25">
      <c r="B104" s="54"/>
      <c r="C104" s="5"/>
      <c r="D104" s="6" t="s">
        <v>77</v>
      </c>
      <c r="E104" s="5">
        <f>SUM(E103:E103)</f>
        <v>2</v>
      </c>
      <c r="F104" s="5"/>
      <c r="G104" s="5"/>
      <c r="H104" s="5"/>
      <c r="I104" s="5"/>
      <c r="J104" s="5"/>
      <c r="K104" s="5"/>
    </row>
    <row r="105" spans="2:11" x14ac:dyDescent="0.25">
      <c r="B105" s="54"/>
      <c r="C105" s="2">
        <v>1</v>
      </c>
      <c r="D105" s="3" t="s">
        <v>196</v>
      </c>
      <c r="E105" s="2">
        <v>2</v>
      </c>
    </row>
    <row r="106" spans="2:11" x14ac:dyDescent="0.25">
      <c r="B106" s="54"/>
      <c r="C106" s="2">
        <v>2</v>
      </c>
      <c r="D106" s="3" t="s">
        <v>17</v>
      </c>
      <c r="E106" s="2">
        <v>2</v>
      </c>
    </row>
    <row r="107" spans="2:11" s="4" customFormat="1" ht="14.25" customHeight="1" x14ac:dyDescent="0.25">
      <c r="B107" s="54"/>
      <c r="C107" s="5"/>
      <c r="D107" s="6" t="s">
        <v>77</v>
      </c>
      <c r="E107" s="5">
        <f>SUM(E105:E106)</f>
        <v>4</v>
      </c>
      <c r="F107" s="5"/>
      <c r="G107" s="5"/>
      <c r="H107" s="5"/>
      <c r="I107" s="5"/>
      <c r="J107" s="5"/>
      <c r="K107" s="5"/>
    </row>
    <row r="108" spans="2:11" x14ac:dyDescent="0.25">
      <c r="B108" s="54"/>
      <c r="C108" s="2">
        <v>1</v>
      </c>
      <c r="D108" s="3" t="s">
        <v>196</v>
      </c>
      <c r="E108" s="2">
        <v>2</v>
      </c>
    </row>
    <row r="109" spans="2:11" x14ac:dyDescent="0.25">
      <c r="B109" s="54"/>
      <c r="C109" s="2">
        <v>2</v>
      </c>
      <c r="D109" s="3" t="s">
        <v>58</v>
      </c>
      <c r="E109" s="2">
        <v>2</v>
      </c>
    </row>
    <row r="110" spans="2:11" x14ac:dyDescent="0.25">
      <c r="B110" s="54"/>
      <c r="C110" s="2">
        <v>3</v>
      </c>
      <c r="D110" s="3" t="s">
        <v>195</v>
      </c>
      <c r="E110" s="2">
        <v>2</v>
      </c>
    </row>
    <row r="111" spans="2:11" s="4" customFormat="1" ht="14.25" customHeight="1" x14ac:dyDescent="0.25">
      <c r="B111" s="54"/>
      <c r="C111" s="5"/>
      <c r="D111" s="6" t="s">
        <v>77</v>
      </c>
      <c r="E111" s="5">
        <f>SUM(E108:E110)</f>
        <v>6</v>
      </c>
      <c r="F111" s="5"/>
      <c r="G111" s="5"/>
      <c r="H111" s="5"/>
      <c r="I111" s="5"/>
      <c r="J111" s="5"/>
      <c r="K111" s="5"/>
    </row>
    <row r="112" spans="2:11" x14ac:dyDescent="0.25">
      <c r="B112" s="54"/>
      <c r="C112" s="2">
        <v>1</v>
      </c>
      <c r="D112" s="3" t="s">
        <v>194</v>
      </c>
      <c r="E112" s="2">
        <v>2</v>
      </c>
    </row>
    <row r="113" spans="2:11" x14ac:dyDescent="0.25">
      <c r="B113" s="54"/>
      <c r="C113" s="2">
        <v>2</v>
      </c>
      <c r="D113" s="3" t="s">
        <v>58</v>
      </c>
      <c r="E113" s="2">
        <v>2</v>
      </c>
    </row>
    <row r="114" spans="2:11" x14ac:dyDescent="0.25">
      <c r="B114" s="54"/>
      <c r="C114" s="2">
        <v>3</v>
      </c>
      <c r="D114" s="3" t="s">
        <v>192</v>
      </c>
      <c r="E114" s="2">
        <v>2</v>
      </c>
    </row>
    <row r="115" spans="2:11" s="4" customFormat="1" ht="14.25" customHeight="1" x14ac:dyDescent="0.25">
      <c r="B115" s="54"/>
      <c r="C115" s="5"/>
      <c r="D115" s="6" t="s">
        <v>77</v>
      </c>
      <c r="E115" s="5">
        <f>SUM(E112:E114)</f>
        <v>6</v>
      </c>
      <c r="F115" s="5"/>
      <c r="G115" s="5"/>
      <c r="H115" s="5"/>
      <c r="I115" s="5"/>
      <c r="J115" s="5"/>
      <c r="K115" s="5"/>
    </row>
    <row r="116" spans="2:11" x14ac:dyDescent="0.25">
      <c r="B116" s="54"/>
      <c r="C116" s="2">
        <v>1</v>
      </c>
      <c r="D116" s="3" t="s">
        <v>193</v>
      </c>
      <c r="E116" s="2">
        <v>2</v>
      </c>
    </row>
    <row r="117" spans="2:11" x14ac:dyDescent="0.25">
      <c r="B117" s="54"/>
      <c r="C117" s="2">
        <v>2</v>
      </c>
      <c r="D117" s="3" t="s">
        <v>58</v>
      </c>
      <c r="E117" s="2">
        <v>2</v>
      </c>
    </row>
    <row r="118" spans="2:11" x14ac:dyDescent="0.25">
      <c r="B118" s="54"/>
      <c r="C118" s="2">
        <v>3</v>
      </c>
      <c r="D118" s="3" t="s">
        <v>192</v>
      </c>
      <c r="E118" s="2">
        <v>2</v>
      </c>
    </row>
    <row r="119" spans="2:11" s="4" customFormat="1" ht="14.25" customHeight="1" x14ac:dyDescent="0.25">
      <c r="B119" s="54"/>
      <c r="C119" s="5"/>
      <c r="D119" s="6" t="s">
        <v>77</v>
      </c>
      <c r="E119" s="5">
        <f>SUM(E116:E118)</f>
        <v>6</v>
      </c>
      <c r="F119" s="5"/>
      <c r="G119" s="5"/>
      <c r="H119" s="5"/>
      <c r="I119" s="5"/>
      <c r="J119" s="5"/>
      <c r="K119" s="5"/>
    </row>
    <row r="120" spans="2:11" x14ac:dyDescent="0.25">
      <c r="B120" s="54"/>
      <c r="C120" s="2">
        <v>1</v>
      </c>
      <c r="D120" s="3" t="s">
        <v>191</v>
      </c>
      <c r="E120" s="2">
        <v>2</v>
      </c>
    </row>
    <row r="121" spans="2:11" s="4" customFormat="1" ht="14.25" customHeight="1" x14ac:dyDescent="0.25">
      <c r="B121" s="54"/>
      <c r="C121" s="5"/>
      <c r="D121" s="6" t="s">
        <v>77</v>
      </c>
      <c r="E121" s="5">
        <f>SUM(E120:E120)</f>
        <v>2</v>
      </c>
      <c r="F121" s="5"/>
      <c r="G121" s="5"/>
      <c r="H121" s="5"/>
      <c r="I121" s="5"/>
      <c r="J121" s="5"/>
      <c r="K121" s="5"/>
    </row>
    <row r="123" spans="2:11" x14ac:dyDescent="0.25">
      <c r="B123" s="54"/>
      <c r="C123" s="2">
        <v>1</v>
      </c>
      <c r="D123" s="3" t="s">
        <v>190</v>
      </c>
      <c r="E123" s="2">
        <v>2</v>
      </c>
    </row>
    <row r="124" spans="2:11" s="4" customFormat="1" ht="14.25" customHeight="1" x14ac:dyDescent="0.25">
      <c r="B124" s="54"/>
      <c r="C124" s="5"/>
      <c r="D124" s="6" t="s">
        <v>77</v>
      </c>
      <c r="E124" s="5">
        <f>SUM(E123:E123)</f>
        <v>2</v>
      </c>
      <c r="F124" s="5"/>
      <c r="G124" s="5"/>
      <c r="H124" s="5"/>
      <c r="I124" s="5"/>
      <c r="J124" s="5"/>
      <c r="K124" s="5"/>
    </row>
    <row r="125" spans="2:11" x14ac:dyDescent="0.25">
      <c r="B125" s="54"/>
      <c r="C125" s="2">
        <v>1</v>
      </c>
      <c r="D125" s="3" t="s">
        <v>189</v>
      </c>
      <c r="E125" s="2">
        <v>1</v>
      </c>
    </row>
    <row r="126" spans="2:11" x14ac:dyDescent="0.25">
      <c r="B126" s="54"/>
      <c r="C126" s="2">
        <v>2</v>
      </c>
      <c r="D126" s="3" t="s">
        <v>188</v>
      </c>
      <c r="E126" s="2">
        <v>1</v>
      </c>
    </row>
    <row r="127" spans="2:11" x14ac:dyDescent="0.25">
      <c r="B127" s="54"/>
      <c r="C127" s="2">
        <v>3</v>
      </c>
      <c r="D127" s="3" t="s">
        <v>134</v>
      </c>
      <c r="E127" s="2">
        <v>2</v>
      </c>
    </row>
    <row r="128" spans="2:11" x14ac:dyDescent="0.25">
      <c r="B128" s="54"/>
      <c r="C128" s="2">
        <v>4</v>
      </c>
      <c r="D128" s="3" t="s">
        <v>187</v>
      </c>
      <c r="E128" s="2">
        <v>2</v>
      </c>
    </row>
    <row r="129" spans="2:11" s="4" customFormat="1" ht="14.25" customHeight="1" x14ac:dyDescent="0.25">
      <c r="B129" s="54"/>
      <c r="C129" s="5"/>
      <c r="D129" s="6" t="s">
        <v>77</v>
      </c>
      <c r="E129" s="5">
        <f>SUM(E125:E128)</f>
        <v>6</v>
      </c>
      <c r="F129" s="5"/>
      <c r="G129" s="5"/>
      <c r="H129" s="5"/>
      <c r="I129" s="5"/>
      <c r="J129" s="5"/>
      <c r="K129" s="5"/>
    </row>
    <row r="130" spans="2:11" x14ac:dyDescent="0.25">
      <c r="B130" s="54"/>
      <c r="C130" s="2">
        <v>1</v>
      </c>
      <c r="D130" s="3" t="s">
        <v>186</v>
      </c>
      <c r="E130" s="2">
        <v>2</v>
      </c>
    </row>
    <row r="131" spans="2:11" x14ac:dyDescent="0.25">
      <c r="B131" s="54"/>
      <c r="C131" s="2">
        <v>2</v>
      </c>
      <c r="D131" s="3" t="s">
        <v>134</v>
      </c>
      <c r="E131" s="2">
        <v>2</v>
      </c>
    </row>
    <row r="132" spans="2:11" x14ac:dyDescent="0.25">
      <c r="B132" s="54"/>
      <c r="C132" s="2">
        <v>3</v>
      </c>
      <c r="D132" s="3" t="s">
        <v>185</v>
      </c>
      <c r="E132" s="2">
        <v>2</v>
      </c>
    </row>
    <row r="133" spans="2:11" x14ac:dyDescent="0.25">
      <c r="B133" s="54"/>
      <c r="C133" s="2">
        <v>4</v>
      </c>
      <c r="D133" s="3" t="s">
        <v>184</v>
      </c>
      <c r="E133" s="2">
        <v>1</v>
      </c>
    </row>
    <row r="134" spans="2:11" x14ac:dyDescent="0.25">
      <c r="B134" s="54"/>
      <c r="C134" s="2">
        <v>5</v>
      </c>
      <c r="D134" s="3" t="s">
        <v>182</v>
      </c>
      <c r="E134" s="2">
        <v>2</v>
      </c>
    </row>
    <row r="135" spans="2:11" s="4" customFormat="1" ht="14.25" customHeight="1" x14ac:dyDescent="0.25">
      <c r="B135" s="54"/>
      <c r="C135" s="5"/>
      <c r="D135" s="6" t="s">
        <v>77</v>
      </c>
      <c r="E135" s="5">
        <v>9</v>
      </c>
      <c r="F135" s="5"/>
      <c r="G135" s="5"/>
      <c r="H135" s="5"/>
      <c r="I135" s="5"/>
      <c r="J135" s="5"/>
      <c r="K135" s="5"/>
    </row>
    <row r="136" spans="2:11" x14ac:dyDescent="0.25">
      <c r="B136" s="54"/>
      <c r="C136" s="2">
        <v>1</v>
      </c>
      <c r="D136" s="3" t="s">
        <v>183</v>
      </c>
      <c r="E136" s="2">
        <v>2</v>
      </c>
    </row>
    <row r="137" spans="2:11" x14ac:dyDescent="0.25">
      <c r="B137" s="54"/>
      <c r="C137" s="2">
        <v>2</v>
      </c>
      <c r="D137" s="3" t="s">
        <v>176</v>
      </c>
      <c r="E137" s="2">
        <v>2</v>
      </c>
    </row>
    <row r="138" spans="2:11" x14ac:dyDescent="0.25">
      <c r="B138" s="54"/>
      <c r="C138" s="2">
        <v>3</v>
      </c>
      <c r="D138" s="3" t="s">
        <v>180</v>
      </c>
      <c r="E138" s="2">
        <v>2</v>
      </c>
    </row>
    <row r="139" spans="2:11" x14ac:dyDescent="0.25">
      <c r="B139" s="54"/>
      <c r="C139" s="2">
        <v>4</v>
      </c>
      <c r="D139" s="3" t="s">
        <v>182</v>
      </c>
      <c r="E139" s="2">
        <v>2</v>
      </c>
    </row>
    <row r="140" spans="2:11" s="4" customFormat="1" ht="14.25" customHeight="1" x14ac:dyDescent="0.25">
      <c r="B140" s="54"/>
      <c r="C140" s="5"/>
      <c r="D140" s="6" t="s">
        <v>77</v>
      </c>
      <c r="E140" s="5">
        <v>8</v>
      </c>
      <c r="F140" s="5"/>
      <c r="G140" s="5"/>
      <c r="H140" s="5"/>
      <c r="I140" s="5"/>
      <c r="J140" s="5"/>
      <c r="K140" s="5"/>
    </row>
    <row r="141" spans="2:11" x14ac:dyDescent="0.25">
      <c r="B141" s="54"/>
      <c r="C141" s="2">
        <v>1</v>
      </c>
      <c r="D141" s="3" t="s">
        <v>181</v>
      </c>
      <c r="E141" s="2">
        <v>2</v>
      </c>
    </row>
    <row r="142" spans="2:11" x14ac:dyDescent="0.25">
      <c r="B142" s="54"/>
      <c r="C142" s="2">
        <v>2</v>
      </c>
      <c r="D142" s="3" t="s">
        <v>176</v>
      </c>
      <c r="E142" s="2">
        <v>2</v>
      </c>
    </row>
    <row r="143" spans="2:11" x14ac:dyDescent="0.25">
      <c r="B143" s="54"/>
      <c r="C143" s="2">
        <v>3</v>
      </c>
      <c r="D143" s="3" t="s">
        <v>180</v>
      </c>
      <c r="E143" s="2">
        <v>2</v>
      </c>
    </row>
    <row r="144" spans="2:11" x14ac:dyDescent="0.25">
      <c r="B144" s="54"/>
      <c r="C144" s="2">
        <v>4</v>
      </c>
      <c r="D144" s="3" t="s">
        <v>179</v>
      </c>
      <c r="E144" s="2">
        <v>2</v>
      </c>
    </row>
    <row r="145" spans="2:11" s="4" customFormat="1" ht="14.25" customHeight="1" x14ac:dyDescent="0.25">
      <c r="B145" s="54"/>
      <c r="C145" s="5"/>
      <c r="D145" s="6" t="s">
        <v>77</v>
      </c>
      <c r="E145" s="5">
        <v>8</v>
      </c>
      <c r="F145" s="5"/>
      <c r="G145" s="5"/>
      <c r="H145" s="5"/>
      <c r="I145" s="5"/>
      <c r="J145" s="5"/>
      <c r="K145" s="5"/>
    </row>
    <row r="146" spans="2:11" x14ac:dyDescent="0.25">
      <c r="B146" s="54"/>
      <c r="C146" s="2">
        <v>1</v>
      </c>
      <c r="D146" s="3" t="s">
        <v>176</v>
      </c>
      <c r="E146" s="2">
        <v>2</v>
      </c>
    </row>
    <row r="147" spans="2:11" x14ac:dyDescent="0.25">
      <c r="B147" s="54"/>
      <c r="C147" s="2">
        <v>2</v>
      </c>
      <c r="D147" s="3" t="s">
        <v>175</v>
      </c>
      <c r="E147" s="2">
        <v>2</v>
      </c>
    </row>
    <row r="148" spans="2:11" x14ac:dyDescent="0.25">
      <c r="B148" s="54"/>
      <c r="C148" s="2">
        <v>3</v>
      </c>
      <c r="D148" s="3" t="s">
        <v>178</v>
      </c>
      <c r="E148" s="2">
        <v>2</v>
      </c>
    </row>
    <row r="149" spans="2:11" x14ac:dyDescent="0.25">
      <c r="B149" s="54"/>
      <c r="C149" s="2">
        <v>4</v>
      </c>
      <c r="D149" s="3" t="s">
        <v>169</v>
      </c>
      <c r="E149" s="2">
        <v>2</v>
      </c>
    </row>
    <row r="150" spans="2:11" s="4" customFormat="1" ht="14.25" customHeight="1" x14ac:dyDescent="0.25">
      <c r="B150" s="54"/>
      <c r="C150" s="5"/>
      <c r="D150" s="6" t="s">
        <v>77</v>
      </c>
      <c r="E150" s="5">
        <f>SUM(E146:E149)</f>
        <v>8</v>
      </c>
      <c r="F150" s="5"/>
      <c r="G150" s="5"/>
      <c r="H150" s="5"/>
      <c r="I150" s="5"/>
      <c r="J150" s="5"/>
      <c r="K150" s="5"/>
    </row>
    <row r="151" spans="2:11" x14ac:dyDescent="0.25">
      <c r="B151" s="54"/>
      <c r="C151" s="2">
        <v>1</v>
      </c>
      <c r="D151" s="3" t="s">
        <v>176</v>
      </c>
      <c r="E151" s="2">
        <v>2</v>
      </c>
    </row>
    <row r="152" spans="2:11" x14ac:dyDescent="0.25">
      <c r="B152" s="54"/>
      <c r="C152" s="2">
        <v>2</v>
      </c>
      <c r="D152" s="3" t="s">
        <v>177</v>
      </c>
      <c r="E152" s="2">
        <v>1</v>
      </c>
    </row>
    <row r="153" spans="2:11" s="4" customFormat="1" ht="14.25" customHeight="1" x14ac:dyDescent="0.25">
      <c r="B153" s="54"/>
      <c r="C153" s="5"/>
      <c r="D153" s="6" t="s">
        <v>77</v>
      </c>
      <c r="E153" s="5">
        <f>SUM(E151:E152)</f>
        <v>3</v>
      </c>
      <c r="F153" s="5"/>
      <c r="G153" s="5"/>
      <c r="H153" s="5"/>
      <c r="I153" s="5"/>
      <c r="J153" s="5"/>
      <c r="K153" s="5"/>
    </row>
    <row r="154" spans="2:11" x14ac:dyDescent="0.25">
      <c r="B154" s="54"/>
      <c r="C154" s="2">
        <v>1</v>
      </c>
      <c r="D154" s="3" t="s">
        <v>176</v>
      </c>
      <c r="E154" s="2">
        <v>4</v>
      </c>
    </row>
    <row r="155" spans="2:11" x14ac:dyDescent="0.25">
      <c r="B155" s="54"/>
      <c r="C155" s="2">
        <v>2</v>
      </c>
      <c r="D155" s="3" t="s">
        <v>175</v>
      </c>
      <c r="E155" s="2">
        <v>2</v>
      </c>
    </row>
    <row r="156" spans="2:11" x14ac:dyDescent="0.25">
      <c r="B156" s="54"/>
      <c r="C156" s="2">
        <v>3</v>
      </c>
      <c r="D156" s="3" t="s">
        <v>169</v>
      </c>
      <c r="E156" s="2">
        <v>2</v>
      </c>
    </row>
    <row r="157" spans="2:11" s="4" customFormat="1" ht="14.25" customHeight="1" x14ac:dyDescent="0.25">
      <c r="B157" s="54"/>
      <c r="C157" s="5"/>
      <c r="D157" s="6" t="s">
        <v>77</v>
      </c>
      <c r="E157" s="5">
        <f>SUM(E154:E156)</f>
        <v>8</v>
      </c>
      <c r="F157" s="5"/>
      <c r="G157" s="5"/>
      <c r="H157" s="5"/>
      <c r="I157" s="5"/>
      <c r="J157" s="5"/>
      <c r="K157" s="5"/>
    </row>
    <row r="158" spans="2:11" x14ac:dyDescent="0.25">
      <c r="B158" s="54"/>
      <c r="C158" s="2">
        <v>1</v>
      </c>
      <c r="D158" s="3" t="s">
        <v>174</v>
      </c>
      <c r="E158" s="2">
        <v>4</v>
      </c>
    </row>
    <row r="159" spans="2:11" x14ac:dyDescent="0.25">
      <c r="B159" s="54"/>
      <c r="C159" s="2">
        <v>2</v>
      </c>
      <c r="D159" s="3" t="s">
        <v>173</v>
      </c>
      <c r="E159" s="2">
        <v>4</v>
      </c>
    </row>
    <row r="160" spans="2:11" s="4" customFormat="1" ht="14.25" customHeight="1" x14ac:dyDescent="0.25">
      <c r="B160" s="54"/>
      <c r="C160" s="5"/>
      <c r="D160" s="6" t="s">
        <v>77</v>
      </c>
      <c r="E160" s="5">
        <f>SUM(E158:E159)</f>
        <v>8</v>
      </c>
      <c r="F160" s="5"/>
      <c r="G160" s="5"/>
      <c r="H160" s="5"/>
      <c r="I160" s="5"/>
      <c r="J160" s="5"/>
      <c r="K160" s="5"/>
    </row>
    <row r="161" spans="2:11" x14ac:dyDescent="0.25">
      <c r="B161" s="54"/>
      <c r="C161" s="2">
        <v>1</v>
      </c>
      <c r="D161" s="3" t="s">
        <v>172</v>
      </c>
      <c r="E161" s="2">
        <v>4</v>
      </c>
    </row>
    <row r="162" spans="2:11" x14ac:dyDescent="0.25">
      <c r="B162" s="54"/>
      <c r="C162" s="2">
        <v>2</v>
      </c>
      <c r="D162" s="3" t="s">
        <v>171</v>
      </c>
      <c r="E162" s="2">
        <v>2</v>
      </c>
    </row>
    <row r="163" spans="2:11" x14ac:dyDescent="0.25">
      <c r="B163" s="54"/>
      <c r="C163" s="2">
        <v>3</v>
      </c>
      <c r="D163" s="3" t="s">
        <v>170</v>
      </c>
      <c r="E163" s="2">
        <v>2</v>
      </c>
    </row>
    <row r="164" spans="2:11" x14ac:dyDescent="0.25">
      <c r="B164" s="54"/>
      <c r="C164" s="2">
        <v>4</v>
      </c>
      <c r="D164" s="3" t="s">
        <v>169</v>
      </c>
      <c r="E164" s="2">
        <v>2</v>
      </c>
    </row>
    <row r="165" spans="2:11" s="4" customFormat="1" ht="14.25" customHeight="1" x14ac:dyDescent="0.25">
      <c r="B165" s="54"/>
      <c r="C165" s="5"/>
      <c r="D165" s="6" t="s">
        <v>77</v>
      </c>
      <c r="E165" s="5">
        <f>SUM(E161:E164)</f>
        <v>10</v>
      </c>
      <c r="F165" s="5"/>
      <c r="G165" s="5"/>
      <c r="H165" s="5"/>
      <c r="I165" s="5"/>
      <c r="J165" s="5"/>
      <c r="K165" s="5"/>
    </row>
    <row r="166" spans="2:11" x14ac:dyDescent="0.25">
      <c r="B166" s="54"/>
      <c r="C166" s="2">
        <v>1</v>
      </c>
      <c r="D166" s="3" t="s">
        <v>160</v>
      </c>
      <c r="E166" s="2">
        <v>2</v>
      </c>
    </row>
    <row r="167" spans="2:11" x14ac:dyDescent="0.25">
      <c r="B167" s="54"/>
      <c r="C167" s="2">
        <v>2</v>
      </c>
      <c r="D167" s="3" t="s">
        <v>168</v>
      </c>
      <c r="E167" s="2">
        <v>2</v>
      </c>
    </row>
    <row r="168" spans="2:11" x14ac:dyDescent="0.25">
      <c r="B168" s="54"/>
      <c r="C168" s="2">
        <v>3</v>
      </c>
      <c r="D168" s="3" t="s">
        <v>167</v>
      </c>
      <c r="E168" s="2">
        <v>2</v>
      </c>
    </row>
    <row r="169" spans="2:11" x14ac:dyDescent="0.25">
      <c r="B169" s="54"/>
      <c r="C169" s="2">
        <v>4</v>
      </c>
      <c r="D169" s="3" t="s">
        <v>166</v>
      </c>
      <c r="E169" s="2">
        <v>1</v>
      </c>
    </row>
    <row r="170" spans="2:11" x14ac:dyDescent="0.25">
      <c r="B170" s="54"/>
      <c r="C170" s="2">
        <v>5</v>
      </c>
      <c r="D170" s="3" t="s">
        <v>165</v>
      </c>
      <c r="E170" s="2">
        <v>1</v>
      </c>
    </row>
    <row r="171" spans="2:11" s="4" customFormat="1" ht="14.25" customHeight="1" x14ac:dyDescent="0.25">
      <c r="B171" s="54"/>
      <c r="C171" s="5"/>
      <c r="D171" s="6" t="s">
        <v>77</v>
      </c>
      <c r="E171" s="5">
        <v>8</v>
      </c>
      <c r="F171" s="5"/>
      <c r="G171" s="5"/>
      <c r="H171" s="5"/>
      <c r="I171" s="5"/>
      <c r="J171" s="5"/>
      <c r="K171" s="5"/>
    </row>
    <row r="172" spans="2:11" x14ac:dyDescent="0.25">
      <c r="B172" s="54"/>
      <c r="C172" s="2">
        <v>1</v>
      </c>
      <c r="D172" s="3" t="s">
        <v>160</v>
      </c>
      <c r="E172" s="2">
        <v>2</v>
      </c>
    </row>
    <row r="173" spans="2:11" x14ac:dyDescent="0.25">
      <c r="B173" s="54"/>
      <c r="C173" s="2">
        <v>2</v>
      </c>
      <c r="D173" s="3" t="s">
        <v>164</v>
      </c>
      <c r="E173" s="2">
        <v>2</v>
      </c>
    </row>
    <row r="174" spans="2:11" x14ac:dyDescent="0.25">
      <c r="B174" s="54"/>
      <c r="C174" s="2">
        <v>3</v>
      </c>
      <c r="D174" s="3" t="s">
        <v>163</v>
      </c>
      <c r="E174" s="2">
        <v>2</v>
      </c>
    </row>
    <row r="175" spans="2:11" x14ac:dyDescent="0.25">
      <c r="B175" s="54"/>
      <c r="C175" s="2">
        <v>4</v>
      </c>
      <c r="D175" s="3" t="s">
        <v>162</v>
      </c>
      <c r="E175" s="2">
        <v>4</v>
      </c>
    </row>
    <row r="176" spans="2:11" x14ac:dyDescent="0.25">
      <c r="B176" s="54"/>
      <c r="C176" s="2">
        <v>5</v>
      </c>
      <c r="D176" s="3" t="s">
        <v>161</v>
      </c>
      <c r="E176" s="2">
        <v>2</v>
      </c>
    </row>
    <row r="177" spans="2:11" s="4" customFormat="1" ht="14.25" customHeight="1" x14ac:dyDescent="0.25">
      <c r="B177" s="54"/>
      <c r="C177" s="5"/>
      <c r="D177" s="6" t="s">
        <v>77</v>
      </c>
      <c r="E177" s="5">
        <v>12</v>
      </c>
      <c r="F177" s="5"/>
      <c r="G177" s="5"/>
      <c r="H177" s="5"/>
      <c r="I177" s="5"/>
      <c r="J177" s="5"/>
      <c r="K177" s="5"/>
    </row>
    <row r="178" spans="2:11" x14ac:dyDescent="0.25">
      <c r="B178" s="54"/>
      <c r="C178" s="2">
        <v>1</v>
      </c>
      <c r="D178" s="3" t="s">
        <v>160</v>
      </c>
      <c r="E178" s="2">
        <v>2</v>
      </c>
    </row>
    <row r="179" spans="2:11" x14ac:dyDescent="0.25">
      <c r="B179" s="54"/>
      <c r="C179" s="2">
        <v>2</v>
      </c>
      <c r="D179" s="3" t="s">
        <v>159</v>
      </c>
      <c r="E179" s="2">
        <v>2</v>
      </c>
    </row>
    <row r="180" spans="2:11" x14ac:dyDescent="0.25">
      <c r="B180" s="54"/>
      <c r="C180" s="2">
        <v>3</v>
      </c>
      <c r="D180" s="3" t="s">
        <v>156</v>
      </c>
      <c r="E180" s="2">
        <v>2</v>
      </c>
    </row>
    <row r="181" spans="2:11" x14ac:dyDescent="0.25">
      <c r="B181" s="54"/>
      <c r="C181" s="2">
        <v>4</v>
      </c>
      <c r="D181" s="3" t="s">
        <v>158</v>
      </c>
      <c r="E181" s="2">
        <v>2</v>
      </c>
    </row>
    <row r="182" spans="2:11" s="4" customFormat="1" ht="14.25" customHeight="1" x14ac:dyDescent="0.25">
      <c r="B182" s="54"/>
      <c r="C182" s="5"/>
      <c r="D182" s="6" t="s">
        <v>77</v>
      </c>
      <c r="E182" s="5">
        <f>SUM(E178:E181)</f>
        <v>8</v>
      </c>
      <c r="F182" s="5"/>
      <c r="G182" s="5"/>
      <c r="H182" s="5"/>
      <c r="I182" s="5"/>
      <c r="J182" s="5"/>
      <c r="K182" s="5"/>
    </row>
    <row r="183" spans="2:11" x14ac:dyDescent="0.25">
      <c r="B183" s="54"/>
      <c r="C183" s="2">
        <v>1</v>
      </c>
      <c r="D183" s="3" t="s">
        <v>137</v>
      </c>
      <c r="E183" s="2">
        <v>2</v>
      </c>
    </row>
    <row r="184" spans="2:11" x14ac:dyDescent="0.25">
      <c r="B184" s="54"/>
      <c r="C184" s="2">
        <v>2</v>
      </c>
      <c r="D184" s="3" t="s">
        <v>157</v>
      </c>
      <c r="E184" s="2">
        <v>2</v>
      </c>
    </row>
    <row r="185" spans="2:11" x14ac:dyDescent="0.25">
      <c r="B185" s="54"/>
      <c r="C185" s="2">
        <v>3</v>
      </c>
      <c r="D185" s="3" t="s">
        <v>156</v>
      </c>
      <c r="E185" s="2">
        <v>1</v>
      </c>
    </row>
    <row r="186" spans="2:11" s="4" customFormat="1" ht="14.25" customHeight="1" x14ac:dyDescent="0.25">
      <c r="B186" s="54"/>
      <c r="C186" s="5"/>
      <c r="D186" s="6" t="s">
        <v>77</v>
      </c>
      <c r="E186" s="5">
        <f>SUM(E183:E185)</f>
        <v>5</v>
      </c>
      <c r="F186" s="5"/>
      <c r="G186" s="5"/>
      <c r="H186" s="5"/>
      <c r="I186" s="5"/>
      <c r="J186" s="5"/>
      <c r="K186" s="5"/>
    </row>
    <row r="187" spans="2:11" x14ac:dyDescent="0.25">
      <c r="B187" s="54"/>
      <c r="C187" s="2">
        <v>1</v>
      </c>
      <c r="D187" s="3" t="s">
        <v>155</v>
      </c>
      <c r="E187" s="2">
        <v>2</v>
      </c>
    </row>
    <row r="188" spans="2:11" x14ac:dyDescent="0.25">
      <c r="B188" s="54"/>
      <c r="C188" s="2">
        <v>2</v>
      </c>
      <c r="D188" s="3" t="s">
        <v>153</v>
      </c>
      <c r="E188" s="2">
        <v>2</v>
      </c>
    </row>
    <row r="189" spans="2:11" x14ac:dyDescent="0.25">
      <c r="B189" s="54"/>
      <c r="C189" s="2">
        <v>3</v>
      </c>
      <c r="D189" s="3" t="s">
        <v>154</v>
      </c>
      <c r="E189" s="2">
        <v>2</v>
      </c>
    </row>
    <row r="190" spans="2:11" s="4" customFormat="1" ht="14.25" customHeight="1" x14ac:dyDescent="0.25">
      <c r="B190" s="54"/>
      <c r="C190" s="5"/>
      <c r="D190" s="6" t="s">
        <v>77</v>
      </c>
      <c r="E190" s="5">
        <f>SUM(E187:E189)</f>
        <v>6</v>
      </c>
      <c r="F190" s="5"/>
      <c r="G190" s="5"/>
      <c r="H190" s="5"/>
      <c r="I190" s="5"/>
      <c r="J190" s="5"/>
      <c r="K190" s="5"/>
    </row>
    <row r="191" spans="2:11" x14ac:dyDescent="0.25">
      <c r="B191" s="54"/>
      <c r="C191" s="2">
        <v>1</v>
      </c>
      <c r="D191" s="3" t="s">
        <v>153</v>
      </c>
      <c r="E191" s="2">
        <v>2</v>
      </c>
    </row>
    <row r="192" spans="2:11" x14ac:dyDescent="0.25">
      <c r="B192" s="54"/>
      <c r="C192" s="2">
        <v>2</v>
      </c>
      <c r="D192" s="3" t="s">
        <v>152</v>
      </c>
      <c r="E192" s="2">
        <v>2</v>
      </c>
    </row>
    <row r="193" spans="2:11" x14ac:dyDescent="0.25">
      <c r="B193" s="54"/>
      <c r="C193" s="2">
        <v>3</v>
      </c>
      <c r="D193" s="3" t="s">
        <v>151</v>
      </c>
      <c r="E193" s="2">
        <v>1</v>
      </c>
    </row>
    <row r="194" spans="2:11" x14ac:dyDescent="0.25">
      <c r="B194" s="54"/>
      <c r="C194" s="2">
        <v>4</v>
      </c>
      <c r="D194" s="3" t="s">
        <v>150</v>
      </c>
      <c r="E194" s="2">
        <v>2</v>
      </c>
    </row>
    <row r="195" spans="2:11" s="4" customFormat="1" ht="14.25" customHeight="1" x14ac:dyDescent="0.25">
      <c r="B195" s="54"/>
      <c r="C195" s="5"/>
      <c r="D195" s="6" t="s">
        <v>77</v>
      </c>
      <c r="E195" s="5">
        <v>7</v>
      </c>
      <c r="F195" s="5"/>
      <c r="G195" s="5"/>
      <c r="H195" s="5"/>
      <c r="I195" s="5"/>
      <c r="J195" s="5"/>
      <c r="K195" s="5"/>
    </row>
    <row r="196" spans="2:11" x14ac:dyDescent="0.25">
      <c r="B196" s="54"/>
      <c r="C196" s="2">
        <v>1</v>
      </c>
      <c r="D196" s="3" t="s">
        <v>149</v>
      </c>
      <c r="E196" s="2">
        <v>2</v>
      </c>
    </row>
    <row r="197" spans="2:11" x14ac:dyDescent="0.25">
      <c r="B197" s="54"/>
      <c r="C197" s="2">
        <v>2</v>
      </c>
      <c r="D197" s="3" t="s">
        <v>144</v>
      </c>
      <c r="E197" s="2">
        <v>2</v>
      </c>
    </row>
    <row r="198" spans="2:11" x14ac:dyDescent="0.25">
      <c r="B198" s="54"/>
      <c r="C198" s="2">
        <v>3</v>
      </c>
      <c r="D198" s="3" t="s">
        <v>148</v>
      </c>
      <c r="E198" s="2">
        <v>2</v>
      </c>
    </row>
    <row r="199" spans="2:11" s="4" customFormat="1" ht="14.25" customHeight="1" x14ac:dyDescent="0.25">
      <c r="B199" s="54"/>
      <c r="C199" s="5"/>
      <c r="D199" s="6" t="s">
        <v>77</v>
      </c>
      <c r="E199" s="5">
        <f>SUM(E196:E198)</f>
        <v>6</v>
      </c>
      <c r="F199" s="5"/>
      <c r="G199" s="5"/>
      <c r="H199" s="5"/>
      <c r="I199" s="5"/>
      <c r="J199" s="5"/>
      <c r="K199" s="5"/>
    </row>
    <row r="200" spans="2:11" x14ac:dyDescent="0.25">
      <c r="B200" s="54"/>
      <c r="C200" s="2">
        <v>1</v>
      </c>
      <c r="D200" s="3" t="s">
        <v>147</v>
      </c>
      <c r="E200" s="2">
        <v>2</v>
      </c>
    </row>
    <row r="201" spans="2:11" x14ac:dyDescent="0.25">
      <c r="B201" s="54"/>
      <c r="C201" s="2">
        <v>2</v>
      </c>
      <c r="D201" s="3" t="s">
        <v>144</v>
      </c>
      <c r="E201" s="2">
        <v>1</v>
      </c>
    </row>
    <row r="202" spans="2:11" x14ac:dyDescent="0.25">
      <c r="B202" s="54"/>
      <c r="C202" s="2">
        <v>3</v>
      </c>
      <c r="D202" s="3" t="s">
        <v>146</v>
      </c>
      <c r="E202" s="2">
        <v>1</v>
      </c>
    </row>
    <row r="203" spans="2:11" s="4" customFormat="1" ht="14.25" customHeight="1" x14ac:dyDescent="0.25">
      <c r="B203" s="54"/>
      <c r="C203" s="5"/>
      <c r="D203" s="6" t="s">
        <v>77</v>
      </c>
      <c r="E203" s="5">
        <f>SUM(E200:E202)</f>
        <v>4</v>
      </c>
      <c r="F203" s="5"/>
      <c r="G203" s="5"/>
      <c r="H203" s="5"/>
      <c r="I203" s="5"/>
      <c r="J203" s="5"/>
      <c r="K203" s="5"/>
    </row>
    <row r="204" spans="2:11" x14ac:dyDescent="0.25">
      <c r="B204" s="54"/>
      <c r="C204" s="2">
        <v>1</v>
      </c>
      <c r="D204" s="3" t="s">
        <v>145</v>
      </c>
      <c r="E204" s="2">
        <v>4</v>
      </c>
    </row>
    <row r="205" spans="2:11" x14ac:dyDescent="0.25">
      <c r="B205" s="54"/>
      <c r="C205" s="2">
        <v>2</v>
      </c>
      <c r="D205" s="3" t="s">
        <v>144</v>
      </c>
      <c r="E205" s="2">
        <v>2</v>
      </c>
    </row>
    <row r="206" spans="2:11" x14ac:dyDescent="0.25">
      <c r="B206" s="54"/>
      <c r="C206" s="2">
        <v>3</v>
      </c>
      <c r="D206" s="3" t="s">
        <v>142</v>
      </c>
      <c r="E206" s="2">
        <v>2</v>
      </c>
    </row>
    <row r="207" spans="2:11" s="4" customFormat="1" ht="14.25" customHeight="1" x14ac:dyDescent="0.25">
      <c r="B207" s="54"/>
      <c r="C207" s="5"/>
      <c r="D207" s="6" t="s">
        <v>77</v>
      </c>
      <c r="E207" s="5">
        <f>SUM(E204:E206)</f>
        <v>8</v>
      </c>
      <c r="F207" s="5"/>
      <c r="G207" s="5"/>
      <c r="H207" s="5"/>
      <c r="I207" s="5"/>
      <c r="J207" s="5"/>
      <c r="K207" s="5"/>
    </row>
    <row r="208" spans="2:11" x14ac:dyDescent="0.25">
      <c r="B208" s="54"/>
      <c r="C208" s="2">
        <v>1</v>
      </c>
      <c r="D208" s="3" t="s">
        <v>143</v>
      </c>
      <c r="E208" s="2">
        <v>2</v>
      </c>
    </row>
    <row r="209" spans="2:11" x14ac:dyDescent="0.25">
      <c r="B209" s="54"/>
      <c r="C209" s="2">
        <v>2</v>
      </c>
      <c r="D209" s="3" t="s">
        <v>142</v>
      </c>
      <c r="E209" s="2">
        <v>1</v>
      </c>
    </row>
    <row r="210" spans="2:11" s="4" customFormat="1" ht="14.25" customHeight="1" x14ac:dyDescent="0.25">
      <c r="B210" s="54"/>
      <c r="C210" s="5"/>
      <c r="D210" s="6" t="s">
        <v>77</v>
      </c>
      <c r="E210" s="5">
        <f>SUM(E208:E209)</f>
        <v>3</v>
      </c>
      <c r="F210" s="5"/>
      <c r="G210" s="5"/>
      <c r="H210" s="5"/>
      <c r="I210" s="5"/>
      <c r="J210" s="5"/>
      <c r="K210" s="5"/>
    </row>
    <row r="211" spans="2:11" x14ac:dyDescent="0.25">
      <c r="B211" s="54"/>
      <c r="C211" s="2">
        <v>1</v>
      </c>
      <c r="D211" s="3" t="s">
        <v>141</v>
      </c>
      <c r="E211" s="2">
        <v>2</v>
      </c>
    </row>
    <row r="212" spans="2:11" x14ac:dyDescent="0.25">
      <c r="B212" s="54"/>
      <c r="C212" s="2">
        <v>2</v>
      </c>
      <c r="D212" s="3" t="s">
        <v>104</v>
      </c>
      <c r="E212" s="2">
        <v>3</v>
      </c>
    </row>
    <row r="213" spans="2:11" x14ac:dyDescent="0.25">
      <c r="B213" s="54"/>
      <c r="C213" s="2">
        <v>3</v>
      </c>
      <c r="D213" s="3" t="s">
        <v>140</v>
      </c>
      <c r="E213" s="2">
        <v>2</v>
      </c>
    </row>
    <row r="214" spans="2:11" s="4" customFormat="1" ht="14.25" customHeight="1" x14ac:dyDescent="0.25">
      <c r="B214" s="54"/>
      <c r="C214" s="5"/>
      <c r="D214" s="6" t="s">
        <v>77</v>
      </c>
      <c r="E214" s="5">
        <f>SUM(E211:E213)</f>
        <v>7</v>
      </c>
      <c r="F214" s="5"/>
      <c r="G214" s="5"/>
      <c r="H214" s="5"/>
      <c r="I214" s="5"/>
      <c r="J214" s="5"/>
      <c r="K214" s="5"/>
    </row>
    <row r="215" spans="2:11" x14ac:dyDescent="0.25">
      <c r="B215" s="54"/>
      <c r="C215" s="2">
        <v>1</v>
      </c>
      <c r="D215" s="3" t="s">
        <v>139</v>
      </c>
      <c r="E215" s="2">
        <v>2</v>
      </c>
    </row>
    <row r="216" spans="2:11" x14ac:dyDescent="0.25">
      <c r="B216" s="54"/>
      <c r="C216" s="2">
        <v>2</v>
      </c>
      <c r="D216" s="3" t="s">
        <v>136</v>
      </c>
      <c r="E216" s="2">
        <v>2</v>
      </c>
    </row>
    <row r="217" spans="2:11" x14ac:dyDescent="0.25">
      <c r="B217" s="54"/>
      <c r="C217" s="2">
        <v>3</v>
      </c>
      <c r="D217" s="3" t="s">
        <v>138</v>
      </c>
      <c r="E217" s="2">
        <v>2</v>
      </c>
    </row>
    <row r="218" spans="2:11" s="4" customFormat="1" ht="14.25" customHeight="1" x14ac:dyDescent="0.25">
      <c r="B218" s="54"/>
      <c r="C218" s="5"/>
      <c r="D218" s="6" t="s">
        <v>77</v>
      </c>
      <c r="E218" s="5">
        <f>SUM(E215:E217)</f>
        <v>6</v>
      </c>
      <c r="F218" s="5"/>
      <c r="G218" s="5"/>
      <c r="H218" s="5"/>
      <c r="I218" s="5"/>
      <c r="J218" s="5"/>
      <c r="K218" s="5"/>
    </row>
    <row r="219" spans="2:11" x14ac:dyDescent="0.25">
      <c r="B219" s="54"/>
      <c r="C219" s="2">
        <v>1</v>
      </c>
      <c r="D219" s="3" t="s">
        <v>137</v>
      </c>
      <c r="E219" s="2">
        <v>2</v>
      </c>
    </row>
    <row r="220" spans="2:11" x14ac:dyDescent="0.25">
      <c r="B220" s="54"/>
      <c r="C220" s="2">
        <v>2</v>
      </c>
      <c r="D220" s="3" t="s">
        <v>136</v>
      </c>
      <c r="E220" s="2">
        <v>2</v>
      </c>
    </row>
    <row r="221" spans="2:11" x14ac:dyDescent="0.25">
      <c r="B221" s="54"/>
      <c r="C221" s="2">
        <v>3</v>
      </c>
      <c r="D221" s="3" t="s">
        <v>135</v>
      </c>
      <c r="E221" s="2">
        <v>2</v>
      </c>
    </row>
    <row r="222" spans="2:11" x14ac:dyDescent="0.25">
      <c r="B222" s="54"/>
      <c r="C222" s="2">
        <v>4</v>
      </c>
      <c r="D222" s="3" t="s">
        <v>131</v>
      </c>
      <c r="E222" s="2">
        <v>2</v>
      </c>
    </row>
    <row r="223" spans="2:11" x14ac:dyDescent="0.25">
      <c r="B223" s="54"/>
      <c r="C223" s="2">
        <v>5</v>
      </c>
      <c r="D223" s="3" t="s">
        <v>134</v>
      </c>
      <c r="E223" s="2">
        <v>2</v>
      </c>
    </row>
    <row r="224" spans="2:11" s="4" customFormat="1" ht="14.25" customHeight="1" x14ac:dyDescent="0.25">
      <c r="B224" s="54"/>
      <c r="C224" s="5"/>
      <c r="D224" s="6" t="s">
        <v>77</v>
      </c>
      <c r="E224" s="5">
        <v>10</v>
      </c>
      <c r="F224" s="5"/>
      <c r="G224" s="5"/>
      <c r="H224" s="5"/>
      <c r="I224" s="5"/>
      <c r="J224" s="5"/>
      <c r="K224" s="5"/>
    </row>
    <row r="225" spans="2:11" x14ac:dyDescent="0.25">
      <c r="B225" s="54"/>
      <c r="C225" s="2">
        <v>1</v>
      </c>
      <c r="D225" s="3" t="s">
        <v>133</v>
      </c>
      <c r="E225" s="2">
        <v>2</v>
      </c>
    </row>
    <row r="226" spans="2:11" x14ac:dyDescent="0.25">
      <c r="B226" s="54"/>
      <c r="C226" s="2">
        <v>2</v>
      </c>
      <c r="D226" s="3" t="s">
        <v>129</v>
      </c>
      <c r="E226" s="2">
        <v>2</v>
      </c>
    </row>
    <row r="227" spans="2:11" x14ac:dyDescent="0.25">
      <c r="B227" s="54"/>
      <c r="C227" s="2">
        <v>3</v>
      </c>
      <c r="D227" s="3" t="s">
        <v>131</v>
      </c>
      <c r="E227" s="2">
        <v>2</v>
      </c>
    </row>
    <row r="228" spans="2:11" x14ac:dyDescent="0.25">
      <c r="B228" s="54"/>
      <c r="C228" s="2">
        <v>4</v>
      </c>
      <c r="D228" s="3" t="s">
        <v>128</v>
      </c>
      <c r="E228" s="2">
        <v>2</v>
      </c>
    </row>
    <row r="229" spans="2:11" s="4" customFormat="1" ht="14.25" customHeight="1" x14ac:dyDescent="0.25">
      <c r="B229" s="54"/>
      <c r="C229" s="5"/>
      <c r="D229" s="6" t="s">
        <v>77</v>
      </c>
      <c r="E229" s="5">
        <v>8</v>
      </c>
      <c r="F229" s="5"/>
      <c r="G229" s="5"/>
      <c r="H229" s="5"/>
      <c r="I229" s="5"/>
      <c r="J229" s="5"/>
      <c r="K229" s="5"/>
    </row>
    <row r="230" spans="2:11" x14ac:dyDescent="0.25">
      <c r="B230" s="54"/>
      <c r="C230" s="2">
        <v>1</v>
      </c>
      <c r="D230" s="3" t="s">
        <v>132</v>
      </c>
      <c r="E230" s="2">
        <v>2</v>
      </c>
    </row>
    <row r="231" spans="2:11" x14ac:dyDescent="0.25">
      <c r="B231" s="54"/>
      <c r="C231" s="2">
        <v>2</v>
      </c>
      <c r="D231" s="3" t="s">
        <v>131</v>
      </c>
      <c r="E231" s="2">
        <v>2</v>
      </c>
    </row>
    <row r="232" spans="2:11" x14ac:dyDescent="0.25">
      <c r="B232" s="54"/>
      <c r="C232" s="2">
        <v>3</v>
      </c>
      <c r="D232" s="3" t="s">
        <v>128</v>
      </c>
      <c r="E232" s="2">
        <v>2</v>
      </c>
    </row>
    <row r="233" spans="2:11" s="4" customFormat="1" ht="14.25" customHeight="1" x14ac:dyDescent="0.25">
      <c r="B233" s="54"/>
      <c r="C233" s="5"/>
      <c r="D233" s="6" t="s">
        <v>77</v>
      </c>
      <c r="E233" s="5">
        <v>6</v>
      </c>
      <c r="F233" s="5"/>
      <c r="G233" s="5"/>
      <c r="H233" s="5"/>
      <c r="I233" s="5"/>
      <c r="J233" s="5"/>
      <c r="K233" s="5"/>
    </row>
    <row r="234" spans="2:11" x14ac:dyDescent="0.25">
      <c r="B234" s="54"/>
      <c r="C234" s="2">
        <v>1</v>
      </c>
      <c r="D234" s="3" t="s">
        <v>130</v>
      </c>
      <c r="E234" s="2">
        <v>2</v>
      </c>
    </row>
    <row r="235" spans="2:11" x14ac:dyDescent="0.25">
      <c r="B235" s="54"/>
      <c r="C235" s="2">
        <v>2</v>
      </c>
      <c r="D235" s="3" t="s">
        <v>129</v>
      </c>
      <c r="E235" s="2">
        <v>2</v>
      </c>
    </row>
    <row r="236" spans="2:11" x14ac:dyDescent="0.25">
      <c r="B236" s="54"/>
      <c r="C236" s="2">
        <v>3</v>
      </c>
      <c r="D236" s="3" t="s">
        <v>128</v>
      </c>
      <c r="E236" s="2">
        <v>2</v>
      </c>
    </row>
    <row r="237" spans="2:11" s="4" customFormat="1" ht="14.25" customHeight="1" x14ac:dyDescent="0.25">
      <c r="B237" s="54"/>
      <c r="C237" s="5"/>
      <c r="D237" s="6" t="s">
        <v>77</v>
      </c>
      <c r="E237" s="5">
        <v>6</v>
      </c>
      <c r="F237" s="5"/>
      <c r="G237" s="5"/>
      <c r="H237" s="5"/>
      <c r="I237" s="5"/>
      <c r="J237" s="5"/>
      <c r="K237" s="5"/>
    </row>
    <row r="238" spans="2:11" x14ac:dyDescent="0.25">
      <c r="B238" s="54"/>
      <c r="C238" s="2">
        <v>1</v>
      </c>
      <c r="D238" s="3" t="s">
        <v>127</v>
      </c>
      <c r="E238" s="2">
        <v>2</v>
      </c>
    </row>
    <row r="239" spans="2:11" s="4" customFormat="1" ht="14.25" customHeight="1" x14ac:dyDescent="0.25">
      <c r="B239" s="54"/>
      <c r="C239" s="5"/>
      <c r="D239" s="6" t="s">
        <v>77</v>
      </c>
      <c r="E239" s="5">
        <v>2</v>
      </c>
      <c r="F239" s="5"/>
      <c r="G239" s="5"/>
      <c r="H239" s="5"/>
      <c r="I239" s="5"/>
      <c r="J239" s="5"/>
      <c r="K239" s="5"/>
    </row>
    <row r="240" spans="2:11" x14ac:dyDescent="0.25">
      <c r="B240" s="54"/>
      <c r="C240" s="2">
        <v>1</v>
      </c>
      <c r="D240" s="3" t="s">
        <v>125</v>
      </c>
      <c r="E240" s="2">
        <v>2</v>
      </c>
    </row>
    <row r="241" spans="2:11" x14ac:dyDescent="0.25">
      <c r="B241" s="54"/>
      <c r="C241" s="2">
        <v>2</v>
      </c>
      <c r="D241" s="3" t="s">
        <v>126</v>
      </c>
      <c r="E241" s="2">
        <v>2</v>
      </c>
    </row>
    <row r="242" spans="2:11" x14ac:dyDescent="0.25">
      <c r="B242" s="54"/>
      <c r="C242" s="2">
        <v>3</v>
      </c>
      <c r="D242" s="3" t="s">
        <v>121</v>
      </c>
      <c r="E242" s="2">
        <v>2</v>
      </c>
    </row>
    <row r="243" spans="2:11" s="4" customFormat="1" ht="14.25" customHeight="1" x14ac:dyDescent="0.25">
      <c r="B243" s="54"/>
      <c r="C243" s="5"/>
      <c r="D243" s="6" t="s">
        <v>77</v>
      </c>
      <c r="E243" s="5">
        <v>6</v>
      </c>
      <c r="F243" s="5"/>
      <c r="G243" s="5"/>
      <c r="H243" s="5"/>
      <c r="I243" s="5"/>
      <c r="J243" s="5"/>
      <c r="K243" s="5"/>
    </row>
    <row r="244" spans="2:11" x14ac:dyDescent="0.25">
      <c r="B244" s="54"/>
      <c r="C244" s="2">
        <v>1</v>
      </c>
      <c r="D244" s="3" t="s">
        <v>125</v>
      </c>
      <c r="E244" s="2">
        <v>2</v>
      </c>
    </row>
    <row r="245" spans="2:11" x14ac:dyDescent="0.25">
      <c r="B245" s="54"/>
      <c r="C245" s="2">
        <v>2</v>
      </c>
      <c r="D245" s="3" t="s">
        <v>124</v>
      </c>
      <c r="E245" s="2">
        <v>2</v>
      </c>
    </row>
    <row r="246" spans="2:11" x14ac:dyDescent="0.25">
      <c r="B246" s="54"/>
      <c r="C246" s="2">
        <v>3</v>
      </c>
      <c r="D246" s="3" t="s">
        <v>121</v>
      </c>
      <c r="E246" s="2">
        <v>2</v>
      </c>
    </row>
    <row r="247" spans="2:11" s="4" customFormat="1" ht="14.25" customHeight="1" x14ac:dyDescent="0.25">
      <c r="B247" s="54"/>
      <c r="C247" s="5"/>
      <c r="D247" s="6" t="s">
        <v>77</v>
      </c>
      <c r="E247" s="5">
        <v>6</v>
      </c>
      <c r="F247" s="5"/>
      <c r="G247" s="5"/>
      <c r="H247" s="5"/>
      <c r="I247" s="5"/>
      <c r="J247" s="5"/>
      <c r="K247" s="5"/>
    </row>
    <row r="248" spans="2:11" x14ac:dyDescent="0.25">
      <c r="B248" s="54"/>
      <c r="C248" s="2">
        <v>1</v>
      </c>
      <c r="D248" s="3" t="s">
        <v>112</v>
      </c>
      <c r="E248" s="2">
        <v>2</v>
      </c>
    </row>
    <row r="249" spans="2:11" x14ac:dyDescent="0.25">
      <c r="B249" s="54"/>
      <c r="C249" s="2">
        <v>2</v>
      </c>
      <c r="D249" s="3" t="s">
        <v>122</v>
      </c>
      <c r="E249" s="2">
        <v>2</v>
      </c>
    </row>
    <row r="250" spans="2:11" x14ac:dyDescent="0.25">
      <c r="B250" s="54"/>
      <c r="C250" s="2">
        <v>3</v>
      </c>
      <c r="D250" s="3" t="s">
        <v>121</v>
      </c>
      <c r="E250" s="2">
        <v>3</v>
      </c>
    </row>
    <row r="251" spans="2:11" x14ac:dyDescent="0.25">
      <c r="B251" s="54"/>
      <c r="C251" s="2">
        <v>4</v>
      </c>
      <c r="D251" s="3" t="s">
        <v>102</v>
      </c>
      <c r="E251" s="2">
        <v>2</v>
      </c>
    </row>
    <row r="252" spans="2:11" x14ac:dyDescent="0.25">
      <c r="B252" s="54"/>
      <c r="C252" s="2">
        <v>5</v>
      </c>
      <c r="D252" s="3" t="s">
        <v>119</v>
      </c>
      <c r="E252" s="2">
        <v>2</v>
      </c>
    </row>
    <row r="253" spans="2:11" s="4" customFormat="1" ht="14.25" customHeight="1" x14ac:dyDescent="0.25">
      <c r="B253" s="54"/>
      <c r="C253" s="5">
        <v>6</v>
      </c>
      <c r="D253" s="6" t="s">
        <v>118</v>
      </c>
      <c r="E253" s="5">
        <v>2</v>
      </c>
      <c r="F253" s="5"/>
      <c r="G253" s="5" t="s">
        <v>4</v>
      </c>
      <c r="H253" s="5"/>
      <c r="I253" s="5"/>
      <c r="J253" s="5"/>
      <c r="K253" s="5"/>
    </row>
    <row r="254" spans="2:11" x14ac:dyDescent="0.25">
      <c r="B254" s="54"/>
      <c r="D254" s="6" t="s">
        <v>77</v>
      </c>
      <c r="E254" s="2">
        <v>13</v>
      </c>
      <c r="H254" s="5"/>
    </row>
    <row r="255" spans="2:11" x14ac:dyDescent="0.25">
      <c r="B255" s="54"/>
      <c r="C255" s="2" t="s">
        <v>123</v>
      </c>
      <c r="D255" s="3" t="s">
        <v>112</v>
      </c>
      <c r="E255" s="2">
        <v>2</v>
      </c>
    </row>
    <row r="256" spans="2:11" x14ac:dyDescent="0.25">
      <c r="B256" s="54"/>
      <c r="C256" s="2">
        <v>2</v>
      </c>
      <c r="D256" s="3" t="s">
        <v>122</v>
      </c>
      <c r="E256" s="2">
        <v>2</v>
      </c>
    </row>
    <row r="257" spans="2:11" x14ac:dyDescent="0.25">
      <c r="B257" s="54"/>
      <c r="C257" s="2">
        <v>3</v>
      </c>
      <c r="D257" s="3" t="s">
        <v>121</v>
      </c>
      <c r="E257" s="2">
        <v>2</v>
      </c>
    </row>
    <row r="258" spans="2:11" x14ac:dyDescent="0.25">
      <c r="B258" s="54"/>
      <c r="C258" s="2">
        <v>4</v>
      </c>
      <c r="D258" s="3" t="s">
        <v>101</v>
      </c>
      <c r="E258" s="2">
        <v>2</v>
      </c>
    </row>
    <row r="259" spans="2:11" x14ac:dyDescent="0.25">
      <c r="B259" s="54"/>
      <c r="C259" s="2">
        <v>5</v>
      </c>
      <c r="D259" s="3" t="s">
        <v>119</v>
      </c>
      <c r="E259" s="2">
        <v>2</v>
      </c>
    </row>
    <row r="260" spans="2:11" s="4" customFormat="1" ht="14.25" customHeight="1" x14ac:dyDescent="0.25">
      <c r="B260" s="54"/>
      <c r="C260" s="5">
        <v>6</v>
      </c>
      <c r="D260" s="6" t="s">
        <v>118</v>
      </c>
      <c r="E260" s="5">
        <v>2</v>
      </c>
      <c r="F260" s="5"/>
      <c r="G260" s="5" t="s">
        <v>4</v>
      </c>
      <c r="H260" s="5"/>
      <c r="I260" s="5"/>
      <c r="J260" s="5"/>
      <c r="K260" s="5"/>
    </row>
    <row r="261" spans="2:11" x14ac:dyDescent="0.25">
      <c r="B261" s="54"/>
      <c r="D261" s="6" t="s">
        <v>77</v>
      </c>
      <c r="E261" s="2">
        <v>12</v>
      </c>
      <c r="H261" s="5"/>
    </row>
    <row r="262" spans="2:11" x14ac:dyDescent="0.25">
      <c r="B262" s="54"/>
      <c r="C262" s="2">
        <v>1</v>
      </c>
      <c r="D262" s="3" t="s">
        <v>120</v>
      </c>
      <c r="E262" s="2">
        <v>2</v>
      </c>
    </row>
    <row r="263" spans="2:11" x14ac:dyDescent="0.25">
      <c r="B263" s="54"/>
      <c r="C263" s="2">
        <v>2</v>
      </c>
      <c r="D263" s="3" t="s">
        <v>101</v>
      </c>
      <c r="E263" s="2">
        <v>2</v>
      </c>
    </row>
    <row r="264" spans="2:11" x14ac:dyDescent="0.25">
      <c r="B264" s="54"/>
      <c r="C264" s="2">
        <v>3</v>
      </c>
      <c r="D264" s="3" t="s">
        <v>119</v>
      </c>
      <c r="E264" s="2">
        <v>2</v>
      </c>
    </row>
    <row r="265" spans="2:11" s="4" customFormat="1" ht="14.25" customHeight="1" x14ac:dyDescent="0.25">
      <c r="B265" s="54"/>
      <c r="C265" s="5">
        <v>4</v>
      </c>
      <c r="D265" s="6" t="s">
        <v>118</v>
      </c>
      <c r="E265" s="5">
        <v>1</v>
      </c>
      <c r="F265" s="5"/>
      <c r="G265" s="5" t="s">
        <v>4</v>
      </c>
      <c r="H265" s="5"/>
      <c r="I265" s="5"/>
      <c r="J265" s="5"/>
      <c r="K265" s="5"/>
    </row>
    <row r="266" spans="2:11" x14ac:dyDescent="0.25">
      <c r="B266" s="54"/>
      <c r="D266" s="6" t="s">
        <v>77</v>
      </c>
      <c r="E266" s="2">
        <v>5</v>
      </c>
      <c r="H266" s="5"/>
    </row>
    <row r="267" spans="2:11" x14ac:dyDescent="0.25">
      <c r="B267" s="54"/>
      <c r="C267" s="2">
        <v>1</v>
      </c>
      <c r="D267" s="3" t="s">
        <v>117</v>
      </c>
      <c r="E267" s="2">
        <v>3</v>
      </c>
    </row>
    <row r="268" spans="2:11" x14ac:dyDescent="0.25">
      <c r="B268" s="54"/>
      <c r="C268" s="2">
        <v>2</v>
      </c>
      <c r="D268" s="3" t="s">
        <v>116</v>
      </c>
      <c r="E268" s="2">
        <v>1</v>
      </c>
    </row>
    <row r="269" spans="2:11" x14ac:dyDescent="0.25">
      <c r="B269" s="54"/>
      <c r="C269" s="2">
        <v>3</v>
      </c>
      <c r="D269" s="3" t="s">
        <v>115</v>
      </c>
      <c r="E269" s="2">
        <v>1</v>
      </c>
    </row>
    <row r="270" spans="2:11" s="4" customFormat="1" ht="14.25" customHeight="1" x14ac:dyDescent="0.25">
      <c r="B270" s="54"/>
      <c r="C270" s="5"/>
      <c r="D270" s="6" t="s">
        <v>77</v>
      </c>
      <c r="E270" s="5">
        <v>5</v>
      </c>
      <c r="F270" s="5"/>
      <c r="G270" s="5"/>
      <c r="H270" s="5"/>
      <c r="I270" s="5"/>
      <c r="J270" s="5"/>
      <c r="K270" s="5"/>
    </row>
    <row r="271" spans="2:11" x14ac:dyDescent="0.25">
      <c r="B271" s="54"/>
      <c r="C271" s="2">
        <v>1</v>
      </c>
      <c r="D271" s="3" t="s">
        <v>114</v>
      </c>
      <c r="E271" s="2">
        <v>3</v>
      </c>
    </row>
    <row r="272" spans="2:11" x14ac:dyDescent="0.25">
      <c r="B272" s="54"/>
      <c r="C272" s="2">
        <v>2</v>
      </c>
      <c r="D272" s="3" t="s">
        <v>113</v>
      </c>
      <c r="E272" s="2">
        <v>6</v>
      </c>
    </row>
    <row r="273" spans="2:11" s="4" customFormat="1" ht="14.25" customHeight="1" x14ac:dyDescent="0.25">
      <c r="B273" s="54"/>
      <c r="C273" s="5"/>
      <c r="D273" s="6" t="s">
        <v>77</v>
      </c>
      <c r="E273" s="5">
        <v>9</v>
      </c>
      <c r="F273" s="5"/>
      <c r="G273" s="5"/>
      <c r="H273" s="5"/>
      <c r="I273" s="5"/>
      <c r="J273" s="5"/>
      <c r="K273" s="5"/>
    </row>
    <row r="274" spans="2:11" x14ac:dyDescent="0.25">
      <c r="B274" s="54"/>
      <c r="C274" s="2">
        <v>1</v>
      </c>
      <c r="D274" s="3" t="s">
        <v>109</v>
      </c>
      <c r="E274" s="2">
        <v>4</v>
      </c>
    </row>
    <row r="275" spans="2:11" x14ac:dyDescent="0.25">
      <c r="B275" s="54"/>
      <c r="C275" s="2">
        <v>2</v>
      </c>
      <c r="D275" s="3" t="s">
        <v>111</v>
      </c>
      <c r="E275" s="2">
        <v>2</v>
      </c>
    </row>
    <row r="276" spans="2:11" x14ac:dyDescent="0.25">
      <c r="B276" s="54"/>
      <c r="C276" s="2">
        <v>3</v>
      </c>
      <c r="D276" s="3" t="s">
        <v>112</v>
      </c>
      <c r="E276" s="2">
        <v>2</v>
      </c>
    </row>
    <row r="277" spans="2:11" s="4" customFormat="1" ht="14.25" customHeight="1" x14ac:dyDescent="0.25">
      <c r="B277" s="54"/>
      <c r="C277" s="5"/>
      <c r="D277" s="6" t="s">
        <v>77</v>
      </c>
      <c r="E277" s="5">
        <v>8</v>
      </c>
      <c r="F277" s="5"/>
      <c r="G277" s="5"/>
      <c r="H277" s="5"/>
      <c r="I277" s="5"/>
      <c r="J277" s="5"/>
      <c r="K277" s="5"/>
    </row>
    <row r="278" spans="2:11" x14ac:dyDescent="0.25">
      <c r="B278" s="54"/>
      <c r="C278" s="2">
        <v>1</v>
      </c>
      <c r="D278" s="3" t="s">
        <v>109</v>
      </c>
      <c r="E278" s="2">
        <v>4</v>
      </c>
    </row>
    <row r="279" spans="2:11" x14ac:dyDescent="0.25">
      <c r="B279" s="54"/>
      <c r="C279" s="2">
        <v>2</v>
      </c>
      <c r="D279" s="3" t="s">
        <v>111</v>
      </c>
      <c r="E279" s="2">
        <v>3</v>
      </c>
    </row>
    <row r="280" spans="2:11" x14ac:dyDescent="0.25">
      <c r="B280" s="54"/>
      <c r="C280" s="2">
        <v>3</v>
      </c>
      <c r="D280" s="3" t="s">
        <v>110</v>
      </c>
      <c r="E280" s="2">
        <v>2</v>
      </c>
    </row>
    <row r="281" spans="2:11" s="4" customFormat="1" ht="14.25" customHeight="1" x14ac:dyDescent="0.25">
      <c r="B281" s="54"/>
      <c r="C281" s="5"/>
      <c r="D281" s="6" t="s">
        <v>77</v>
      </c>
      <c r="E281" s="5">
        <v>9</v>
      </c>
      <c r="F281" s="5"/>
      <c r="G281" s="5"/>
      <c r="H281" s="5"/>
      <c r="I281" s="5"/>
      <c r="J281" s="5"/>
      <c r="K281" s="5"/>
    </row>
    <row r="282" spans="2:11" x14ac:dyDescent="0.25">
      <c r="B282" s="54"/>
      <c r="C282" s="2">
        <v>1</v>
      </c>
      <c r="D282" s="3" t="s">
        <v>109</v>
      </c>
      <c r="E282" s="2">
        <v>4</v>
      </c>
    </row>
    <row r="283" spans="2:11" x14ac:dyDescent="0.25">
      <c r="B283" s="54"/>
      <c r="C283" s="2">
        <v>2</v>
      </c>
      <c r="D283" s="3" t="s">
        <v>111</v>
      </c>
      <c r="E283" s="2">
        <v>3</v>
      </c>
    </row>
    <row r="284" spans="2:11" x14ac:dyDescent="0.25">
      <c r="B284" s="54"/>
      <c r="C284" s="2">
        <v>3</v>
      </c>
      <c r="D284" s="3" t="s">
        <v>110</v>
      </c>
      <c r="E284" s="2">
        <v>2</v>
      </c>
    </row>
    <row r="285" spans="2:11" s="4" customFormat="1" ht="14.25" customHeight="1" x14ac:dyDescent="0.25">
      <c r="B285" s="54"/>
      <c r="C285" s="5"/>
      <c r="D285" s="6" t="s">
        <v>77</v>
      </c>
      <c r="E285" s="5">
        <v>9</v>
      </c>
      <c r="F285" s="5"/>
      <c r="G285" s="5"/>
      <c r="H285" s="5"/>
      <c r="I285" s="5"/>
      <c r="J285" s="5"/>
      <c r="K285" s="5"/>
    </row>
    <row r="286" spans="2:11" x14ac:dyDescent="0.25">
      <c r="B286" s="54"/>
      <c r="C286" s="2">
        <v>1</v>
      </c>
      <c r="D286" s="3" t="s">
        <v>109</v>
      </c>
      <c r="E286" s="2">
        <v>2</v>
      </c>
    </row>
    <row r="287" spans="2:11" x14ac:dyDescent="0.25">
      <c r="B287" s="54"/>
      <c r="C287" s="2">
        <v>2</v>
      </c>
      <c r="D287" s="3" t="s">
        <v>108</v>
      </c>
      <c r="E287" s="2">
        <v>2</v>
      </c>
    </row>
    <row r="288" spans="2:11" x14ac:dyDescent="0.25">
      <c r="B288" s="54"/>
      <c r="C288" s="2">
        <v>3</v>
      </c>
      <c r="D288" s="3" t="s">
        <v>107</v>
      </c>
      <c r="E288" s="2">
        <v>2</v>
      </c>
    </row>
    <row r="289" spans="2:11" s="4" customFormat="1" ht="14.25" customHeight="1" x14ac:dyDescent="0.25">
      <c r="B289" s="54"/>
      <c r="C289" s="5"/>
      <c r="D289" s="6" t="s">
        <v>77</v>
      </c>
      <c r="E289" s="5">
        <v>6</v>
      </c>
      <c r="F289" s="5"/>
      <c r="G289" s="5"/>
      <c r="H289" s="5"/>
      <c r="I289" s="5"/>
      <c r="J289" s="5"/>
      <c r="K289" s="5"/>
    </row>
    <row r="290" spans="2:11" x14ac:dyDescent="0.25">
      <c r="B290" s="54"/>
      <c r="C290" s="2">
        <v>1</v>
      </c>
      <c r="D290" s="3" t="s">
        <v>106</v>
      </c>
      <c r="E290" s="2">
        <v>2</v>
      </c>
    </row>
    <row r="291" spans="2:11" x14ac:dyDescent="0.25">
      <c r="B291" s="54"/>
      <c r="C291" s="2">
        <v>2</v>
      </c>
      <c r="D291" s="3" t="s">
        <v>105</v>
      </c>
      <c r="E291" s="2">
        <v>2</v>
      </c>
    </row>
    <row r="292" spans="2:11" x14ac:dyDescent="0.25">
      <c r="B292" s="54"/>
      <c r="C292" s="2">
        <v>3</v>
      </c>
      <c r="D292" s="3" t="s">
        <v>104</v>
      </c>
      <c r="E292" s="2">
        <v>1</v>
      </c>
    </row>
    <row r="293" spans="2:11" s="4" customFormat="1" ht="14.25" customHeight="1" x14ac:dyDescent="0.25">
      <c r="B293" s="54"/>
      <c r="C293" s="5"/>
      <c r="D293" s="6" t="s">
        <v>77</v>
      </c>
      <c r="E293" s="5">
        <v>5</v>
      </c>
      <c r="F293" s="5"/>
      <c r="G293" s="5"/>
      <c r="H293" s="5"/>
      <c r="I293" s="5"/>
      <c r="J293" s="5"/>
      <c r="K293" s="5"/>
    </row>
    <row r="294" spans="2:11" x14ac:dyDescent="0.25">
      <c r="B294" s="54"/>
      <c r="C294" s="2">
        <v>1</v>
      </c>
      <c r="D294" s="3" t="s">
        <v>102</v>
      </c>
      <c r="E294" s="2">
        <v>2</v>
      </c>
    </row>
    <row r="295" spans="2:11" x14ac:dyDescent="0.25">
      <c r="B295" s="54"/>
      <c r="C295" s="2">
        <v>2</v>
      </c>
      <c r="D295" s="3" t="s">
        <v>93</v>
      </c>
      <c r="E295" s="2">
        <v>1</v>
      </c>
    </row>
    <row r="296" spans="2:11" s="4" customFormat="1" ht="14.25" customHeight="1" x14ac:dyDescent="0.25">
      <c r="B296" s="54"/>
      <c r="C296" s="5"/>
      <c r="D296" s="6" t="s">
        <v>77</v>
      </c>
      <c r="E296" s="5">
        <v>3</v>
      </c>
      <c r="F296" s="5"/>
      <c r="G296" s="5"/>
      <c r="H296" s="5"/>
      <c r="I296" s="5"/>
      <c r="J296" s="5"/>
      <c r="K296" s="5"/>
    </row>
    <row r="297" spans="2:11" x14ac:dyDescent="0.25">
      <c r="B297" s="54"/>
      <c r="C297" s="2">
        <v>1</v>
      </c>
      <c r="D297" s="3" t="s">
        <v>102</v>
      </c>
      <c r="E297" s="2">
        <v>2</v>
      </c>
    </row>
    <row r="298" spans="2:11" s="4" customFormat="1" ht="14.25" customHeight="1" x14ac:dyDescent="0.25">
      <c r="B298" s="54"/>
      <c r="C298" s="5"/>
      <c r="D298" s="6" t="s">
        <v>77</v>
      </c>
      <c r="E298" s="5">
        <v>2</v>
      </c>
      <c r="F298" s="5"/>
      <c r="G298" s="5"/>
      <c r="H298" s="5"/>
      <c r="I298" s="5"/>
      <c r="J298" s="5"/>
      <c r="K298" s="5"/>
    </row>
    <row r="299" spans="2:11" x14ac:dyDescent="0.25">
      <c r="B299" s="54"/>
      <c r="C299" s="2">
        <v>1</v>
      </c>
      <c r="D299" s="3" t="s">
        <v>103</v>
      </c>
      <c r="E299" s="2">
        <v>2</v>
      </c>
    </row>
    <row r="300" spans="2:11" s="4" customFormat="1" ht="14.25" customHeight="1" x14ac:dyDescent="0.25">
      <c r="B300" s="54"/>
      <c r="C300" s="5"/>
      <c r="D300" s="6" t="s">
        <v>77</v>
      </c>
      <c r="E300" s="5">
        <v>2</v>
      </c>
      <c r="F300" s="5"/>
      <c r="G300" s="5"/>
      <c r="H300" s="5"/>
      <c r="I300" s="5"/>
      <c r="J300" s="5"/>
      <c r="K300" s="5"/>
    </row>
    <row r="301" spans="2:11" x14ac:dyDescent="0.25">
      <c r="B301" s="54"/>
      <c r="C301" s="2">
        <v>1</v>
      </c>
      <c r="D301" s="3" t="s">
        <v>102</v>
      </c>
      <c r="E301" s="2">
        <v>2</v>
      </c>
    </row>
    <row r="302" spans="2:11" x14ac:dyDescent="0.25">
      <c r="B302" s="54"/>
      <c r="C302" s="2">
        <v>2</v>
      </c>
      <c r="D302" s="3" t="s">
        <v>93</v>
      </c>
      <c r="E302" s="2">
        <v>1</v>
      </c>
    </row>
    <row r="303" spans="2:11" s="4" customFormat="1" ht="14.25" customHeight="1" x14ac:dyDescent="0.25">
      <c r="B303" s="54"/>
      <c r="C303" s="5"/>
      <c r="D303" s="6" t="s">
        <v>77</v>
      </c>
      <c r="E303" s="5">
        <v>2</v>
      </c>
      <c r="F303" s="5"/>
      <c r="G303" s="5"/>
      <c r="H303" s="5"/>
      <c r="I303" s="5"/>
      <c r="J303" s="5"/>
      <c r="K303" s="5"/>
    </row>
    <row r="304" spans="2:11" x14ac:dyDescent="0.25">
      <c r="B304" s="54"/>
      <c r="C304" s="2">
        <v>1</v>
      </c>
      <c r="D304" s="3" t="s">
        <v>101</v>
      </c>
      <c r="E304" s="2">
        <v>2</v>
      </c>
    </row>
    <row r="305" spans="2:11" x14ac:dyDescent="0.25">
      <c r="B305" s="54"/>
      <c r="C305" s="2">
        <v>2</v>
      </c>
      <c r="D305" s="3" t="s">
        <v>93</v>
      </c>
      <c r="E305" s="2">
        <v>1</v>
      </c>
    </row>
    <row r="306" spans="2:11" s="4" customFormat="1" ht="14.25" customHeight="1" x14ac:dyDescent="0.25">
      <c r="B306" s="54"/>
      <c r="C306" s="5"/>
      <c r="D306" s="6" t="s">
        <v>77</v>
      </c>
      <c r="E306" s="5">
        <v>3</v>
      </c>
      <c r="F306" s="5"/>
      <c r="G306" s="5"/>
      <c r="H306" s="5"/>
      <c r="I306" s="5"/>
      <c r="J306" s="5"/>
      <c r="K306" s="5"/>
    </row>
    <row r="307" spans="2:11" x14ac:dyDescent="0.25">
      <c r="B307" s="54"/>
      <c r="C307" s="2">
        <v>1</v>
      </c>
      <c r="D307" s="3" t="s">
        <v>101</v>
      </c>
      <c r="E307" s="2">
        <v>2</v>
      </c>
    </row>
    <row r="308" spans="2:11" x14ac:dyDescent="0.25">
      <c r="B308" s="54"/>
      <c r="C308" s="2">
        <v>2</v>
      </c>
      <c r="D308" s="3" t="s">
        <v>93</v>
      </c>
      <c r="E308" s="2">
        <v>3</v>
      </c>
    </row>
    <row r="309" spans="2:11" s="4" customFormat="1" ht="14.25" customHeight="1" x14ac:dyDescent="0.25">
      <c r="B309" s="54"/>
      <c r="C309" s="5"/>
      <c r="D309" s="6" t="s">
        <v>77</v>
      </c>
      <c r="E309" s="5">
        <v>5</v>
      </c>
      <c r="F309" s="5"/>
      <c r="G309" s="5"/>
      <c r="H309" s="5"/>
      <c r="I309" s="5"/>
      <c r="J309" s="5"/>
      <c r="K309" s="5"/>
    </row>
    <row r="310" spans="2:11" x14ac:dyDescent="0.25">
      <c r="B310" s="54"/>
      <c r="C310" s="2">
        <v>1</v>
      </c>
      <c r="D310" s="3" t="s">
        <v>96</v>
      </c>
      <c r="E310" s="2">
        <v>2</v>
      </c>
    </row>
    <row r="311" spans="2:11" x14ac:dyDescent="0.25">
      <c r="B311" s="54"/>
      <c r="C311" s="2">
        <v>2</v>
      </c>
      <c r="D311" s="3" t="s">
        <v>100</v>
      </c>
      <c r="E311" s="2">
        <v>2</v>
      </c>
    </row>
    <row r="312" spans="2:11" x14ac:dyDescent="0.25">
      <c r="B312" s="54"/>
      <c r="C312" s="2">
        <v>3</v>
      </c>
      <c r="D312" s="3" t="s">
        <v>94</v>
      </c>
      <c r="E312" s="2">
        <v>2</v>
      </c>
    </row>
    <row r="313" spans="2:11" s="4" customFormat="1" ht="14.25" customHeight="1" x14ac:dyDescent="0.25">
      <c r="B313" s="54"/>
      <c r="C313" s="5"/>
      <c r="D313" s="6" t="s">
        <v>77</v>
      </c>
      <c r="E313" s="5">
        <v>6</v>
      </c>
      <c r="F313" s="5"/>
      <c r="G313" s="5"/>
      <c r="H313" s="5"/>
      <c r="I313" s="5"/>
      <c r="J313" s="5"/>
      <c r="K313" s="5"/>
    </row>
    <row r="315" spans="2:11" x14ac:dyDescent="0.25">
      <c r="B315" s="54"/>
      <c r="C315" s="2">
        <v>1</v>
      </c>
      <c r="D315" s="3" t="s">
        <v>96</v>
      </c>
      <c r="E315" s="2">
        <v>2</v>
      </c>
    </row>
    <row r="316" spans="2:11" x14ac:dyDescent="0.25">
      <c r="B316" s="54"/>
      <c r="C316" s="2">
        <v>2</v>
      </c>
      <c r="D316" s="3" t="s">
        <v>99</v>
      </c>
      <c r="E316" s="2">
        <v>2</v>
      </c>
    </row>
    <row r="317" spans="2:11" x14ac:dyDescent="0.25">
      <c r="B317" s="54"/>
      <c r="C317" s="2">
        <v>3</v>
      </c>
      <c r="D317" s="3" t="s">
        <v>94</v>
      </c>
      <c r="E317" s="2">
        <v>2</v>
      </c>
    </row>
    <row r="318" spans="2:11" s="4" customFormat="1" ht="14.25" customHeight="1" x14ac:dyDescent="0.25">
      <c r="B318" s="54"/>
      <c r="C318" s="5"/>
      <c r="D318" s="6" t="s">
        <v>77</v>
      </c>
      <c r="E318" s="5">
        <v>6</v>
      </c>
      <c r="F318" s="5"/>
      <c r="G318" s="5"/>
      <c r="H318" s="5"/>
      <c r="I318" s="5"/>
      <c r="J318" s="5"/>
      <c r="K318" s="5"/>
    </row>
    <row r="319" spans="2:11" x14ac:dyDescent="0.25">
      <c r="B319" s="54"/>
      <c r="C319" s="2">
        <v>1</v>
      </c>
      <c r="D319" s="3" t="s">
        <v>96</v>
      </c>
      <c r="E319" s="2">
        <v>2</v>
      </c>
    </row>
    <row r="320" spans="2:11" x14ac:dyDescent="0.25">
      <c r="B320" s="54"/>
      <c r="C320" s="2">
        <v>2</v>
      </c>
      <c r="D320" s="3" t="s">
        <v>98</v>
      </c>
      <c r="E320" s="2">
        <v>2</v>
      </c>
    </row>
    <row r="321" spans="2:11" x14ac:dyDescent="0.25">
      <c r="B321" s="54"/>
      <c r="C321" s="2">
        <v>3</v>
      </c>
      <c r="D321" s="3" t="s">
        <v>94</v>
      </c>
      <c r="E321" s="2">
        <v>2</v>
      </c>
    </row>
    <row r="322" spans="2:11" s="4" customFormat="1" ht="14.25" customHeight="1" x14ac:dyDescent="0.25">
      <c r="B322" s="54"/>
      <c r="C322" s="5"/>
      <c r="D322" s="6" t="s">
        <v>77</v>
      </c>
      <c r="E322" s="5">
        <v>6</v>
      </c>
      <c r="F322" s="5"/>
      <c r="G322" s="5"/>
      <c r="H322" s="5"/>
      <c r="I322" s="5"/>
      <c r="J322" s="5"/>
      <c r="K322" s="5"/>
    </row>
    <row r="323" spans="2:11" x14ac:dyDescent="0.25">
      <c r="B323" s="54"/>
      <c r="C323" s="2">
        <v>1</v>
      </c>
      <c r="D323" s="3" t="s">
        <v>97</v>
      </c>
      <c r="E323" s="2">
        <v>1</v>
      </c>
    </row>
    <row r="324" spans="2:11" x14ac:dyDescent="0.25">
      <c r="B324" s="54"/>
      <c r="C324" s="2">
        <v>2</v>
      </c>
      <c r="D324" s="3" t="s">
        <v>94</v>
      </c>
      <c r="E324" s="2">
        <v>2</v>
      </c>
    </row>
    <row r="325" spans="2:11" s="4" customFormat="1" ht="14.25" customHeight="1" x14ac:dyDescent="0.25">
      <c r="B325" s="54"/>
      <c r="C325" s="5"/>
      <c r="D325" s="6" t="s">
        <v>77</v>
      </c>
      <c r="E325" s="5">
        <v>3</v>
      </c>
      <c r="F325" s="5"/>
      <c r="G325" s="5"/>
      <c r="H325" s="5"/>
      <c r="I325" s="5"/>
      <c r="J325" s="5"/>
      <c r="K325" s="5"/>
    </row>
    <row r="326" spans="2:11" x14ac:dyDescent="0.25">
      <c r="B326" s="54"/>
      <c r="C326" s="2">
        <v>1</v>
      </c>
      <c r="D326" s="3" t="s">
        <v>97</v>
      </c>
      <c r="E326" s="2">
        <v>1</v>
      </c>
    </row>
    <row r="327" spans="2:11" x14ac:dyDescent="0.25">
      <c r="B327" s="54"/>
      <c r="C327" s="2">
        <v>2</v>
      </c>
      <c r="D327" s="3" t="s">
        <v>94</v>
      </c>
      <c r="E327" s="2">
        <v>3</v>
      </c>
    </row>
    <row r="328" spans="2:11" s="4" customFormat="1" ht="14.25" customHeight="1" x14ac:dyDescent="0.25">
      <c r="B328" s="54"/>
      <c r="C328" s="5"/>
      <c r="D328" s="6" t="s">
        <v>77</v>
      </c>
      <c r="E328" s="5">
        <v>4</v>
      </c>
      <c r="F328" s="5"/>
      <c r="G328" s="5"/>
      <c r="H328" s="5"/>
      <c r="I328" s="5"/>
      <c r="J328" s="5"/>
      <c r="K328" s="5"/>
    </row>
    <row r="329" spans="2:11" x14ac:dyDescent="0.25">
      <c r="B329" s="54"/>
      <c r="C329" s="2">
        <v>1</v>
      </c>
      <c r="D329" s="3" t="s">
        <v>96</v>
      </c>
      <c r="E329" s="2">
        <v>2</v>
      </c>
    </row>
    <row r="330" spans="2:11" x14ac:dyDescent="0.25">
      <c r="B330" s="54"/>
      <c r="C330" s="2">
        <v>2</v>
      </c>
      <c r="D330" s="3" t="s">
        <v>93</v>
      </c>
      <c r="E330" s="2">
        <v>2</v>
      </c>
    </row>
    <row r="331" spans="2:11" x14ac:dyDescent="0.25">
      <c r="B331" s="54"/>
      <c r="C331" s="2">
        <v>3</v>
      </c>
      <c r="D331" s="3" t="s">
        <v>94</v>
      </c>
      <c r="E331" s="2">
        <v>3</v>
      </c>
    </row>
    <row r="332" spans="2:11" s="4" customFormat="1" ht="14.25" customHeight="1" x14ac:dyDescent="0.25">
      <c r="B332" s="54"/>
      <c r="C332" s="5"/>
      <c r="D332" s="6" t="s">
        <v>77</v>
      </c>
      <c r="E332" s="5">
        <v>7</v>
      </c>
      <c r="F332" s="5"/>
      <c r="G332" s="5"/>
      <c r="H332" s="5"/>
      <c r="I332" s="5"/>
      <c r="J332" s="5"/>
      <c r="K332" s="5"/>
    </row>
    <row r="333" spans="2:11" x14ac:dyDescent="0.25">
      <c r="B333" s="54"/>
      <c r="C333" s="2">
        <v>1</v>
      </c>
      <c r="D333" s="3" t="s">
        <v>95</v>
      </c>
      <c r="E333" s="2">
        <v>1</v>
      </c>
    </row>
    <row r="334" spans="2:11" x14ac:dyDescent="0.25">
      <c r="B334" s="54"/>
      <c r="C334" s="2">
        <v>2</v>
      </c>
      <c r="D334" s="3" t="s">
        <v>94</v>
      </c>
      <c r="E334" s="2">
        <v>3</v>
      </c>
    </row>
    <row r="335" spans="2:11" s="4" customFormat="1" ht="14.25" customHeight="1" x14ac:dyDescent="0.25">
      <c r="B335" s="54"/>
      <c r="C335" s="5"/>
      <c r="D335" s="6" t="s">
        <v>77</v>
      </c>
      <c r="E335" s="5">
        <v>4</v>
      </c>
      <c r="F335" s="5"/>
      <c r="G335" s="5"/>
      <c r="H335" s="5"/>
      <c r="I335" s="5"/>
      <c r="J335" s="5"/>
      <c r="K335" s="5"/>
    </row>
    <row r="336" spans="2:11" x14ac:dyDescent="0.25">
      <c r="B336" s="54"/>
      <c r="C336" s="2">
        <v>1</v>
      </c>
      <c r="D336" s="3" t="s">
        <v>7</v>
      </c>
      <c r="E336" s="2">
        <v>1</v>
      </c>
    </row>
    <row r="337" spans="2:11" x14ac:dyDescent="0.25">
      <c r="B337" s="54"/>
      <c r="C337" s="2">
        <v>2</v>
      </c>
      <c r="D337" s="3" t="s">
        <v>93</v>
      </c>
      <c r="E337" s="2">
        <v>2</v>
      </c>
    </row>
    <row r="338" spans="2:11" x14ac:dyDescent="0.25">
      <c r="B338" s="54"/>
      <c r="C338" s="2">
        <v>3</v>
      </c>
      <c r="D338" s="3" t="s">
        <v>92</v>
      </c>
      <c r="E338" s="2">
        <v>3</v>
      </c>
    </row>
    <row r="339" spans="2:11" s="4" customFormat="1" ht="14.25" customHeight="1" x14ac:dyDescent="0.25">
      <c r="B339" s="54"/>
      <c r="C339" s="5"/>
      <c r="D339" s="6" t="s">
        <v>77</v>
      </c>
      <c r="E339" s="5">
        <v>5</v>
      </c>
      <c r="F339" s="5"/>
      <c r="G339" s="5"/>
      <c r="H339" s="5"/>
      <c r="I339" s="5"/>
      <c r="J339" s="5"/>
      <c r="K339" s="5"/>
    </row>
    <row r="340" spans="2:11" x14ac:dyDescent="0.25">
      <c r="B340" s="54"/>
      <c r="C340" s="2">
        <v>1</v>
      </c>
      <c r="D340" s="3" t="s">
        <v>7</v>
      </c>
      <c r="E340" s="2">
        <v>1</v>
      </c>
    </row>
    <row r="341" spans="2:11" x14ac:dyDescent="0.25">
      <c r="B341" s="54"/>
      <c r="C341" s="2">
        <v>2</v>
      </c>
      <c r="D341" s="3" t="s">
        <v>92</v>
      </c>
      <c r="E341" s="2">
        <v>2</v>
      </c>
    </row>
    <row r="342" spans="2:11" s="4" customFormat="1" ht="14.25" customHeight="1" x14ac:dyDescent="0.25">
      <c r="B342" s="54"/>
      <c r="C342" s="5"/>
      <c r="D342" s="6" t="s">
        <v>77</v>
      </c>
      <c r="E342" s="5">
        <v>3</v>
      </c>
      <c r="F342" s="5"/>
      <c r="G342" s="5"/>
      <c r="H342" s="5"/>
      <c r="I342" s="5"/>
      <c r="J342" s="5"/>
      <c r="K342" s="5"/>
    </row>
    <row r="343" spans="2:11" x14ac:dyDescent="0.25">
      <c r="B343" s="54"/>
      <c r="C343" s="2">
        <v>1</v>
      </c>
      <c r="D343" s="3" t="s">
        <v>7</v>
      </c>
      <c r="E343" s="2">
        <v>1</v>
      </c>
    </row>
    <row r="344" spans="2:11" x14ac:dyDescent="0.25">
      <c r="B344" s="54"/>
      <c r="C344" s="2">
        <v>2</v>
      </c>
      <c r="D344" s="3" t="s">
        <v>91</v>
      </c>
      <c r="E344" s="2">
        <v>2</v>
      </c>
    </row>
    <row r="345" spans="2:11" s="4" customFormat="1" ht="14.25" customHeight="1" x14ac:dyDescent="0.25">
      <c r="B345" s="54"/>
      <c r="C345" s="5"/>
      <c r="D345" s="6" t="s">
        <v>77</v>
      </c>
      <c r="E345" s="5">
        <v>3</v>
      </c>
      <c r="F345" s="5"/>
      <c r="G345" s="5"/>
      <c r="H345" s="5"/>
      <c r="I345" s="5"/>
      <c r="J345" s="5"/>
      <c r="K345" s="5"/>
    </row>
    <row r="346" spans="2:11" x14ac:dyDescent="0.25">
      <c r="B346" s="54"/>
      <c r="C346" s="2">
        <v>1</v>
      </c>
      <c r="D346" s="3" t="s">
        <v>90</v>
      </c>
      <c r="E346" s="2">
        <v>1</v>
      </c>
    </row>
    <row r="347" spans="2:11" x14ac:dyDescent="0.25">
      <c r="B347" s="54"/>
      <c r="C347" s="2">
        <v>2</v>
      </c>
      <c r="D347" s="3" t="s">
        <v>89</v>
      </c>
      <c r="E347" s="2">
        <v>1</v>
      </c>
    </row>
    <row r="348" spans="2:11" s="4" customFormat="1" ht="14.25" customHeight="1" x14ac:dyDescent="0.25">
      <c r="B348" s="54"/>
      <c r="C348" s="5"/>
      <c r="D348" s="6" t="s">
        <v>77</v>
      </c>
      <c r="E348" s="5">
        <v>2</v>
      </c>
      <c r="F348" s="5"/>
      <c r="G348" s="5"/>
      <c r="H348" s="5"/>
      <c r="I348" s="5"/>
      <c r="J348" s="5"/>
      <c r="K348" s="5"/>
    </row>
    <row r="349" spans="2:11" x14ac:dyDescent="0.25">
      <c r="B349" s="54"/>
      <c r="C349" s="2">
        <v>1</v>
      </c>
      <c r="D349" s="3" t="s">
        <v>88</v>
      </c>
      <c r="E349" s="2">
        <v>1</v>
      </c>
    </row>
    <row r="350" spans="2:11" x14ac:dyDescent="0.25">
      <c r="B350" s="54"/>
      <c r="C350" s="2">
        <v>2</v>
      </c>
      <c r="D350" s="3" t="s">
        <v>87</v>
      </c>
      <c r="E350" s="2">
        <v>1</v>
      </c>
    </row>
    <row r="351" spans="2:11" s="4" customFormat="1" ht="14.25" customHeight="1" x14ac:dyDescent="0.25">
      <c r="B351" s="54"/>
      <c r="C351" s="5"/>
      <c r="D351" s="6" t="s">
        <v>77</v>
      </c>
      <c r="E351" s="5">
        <v>2</v>
      </c>
      <c r="F351" s="5"/>
      <c r="G351" s="5"/>
      <c r="H351" s="5"/>
      <c r="I351" s="5"/>
      <c r="J351" s="5"/>
      <c r="K351" s="5"/>
    </row>
    <row r="352" spans="2:11" x14ac:dyDescent="0.25">
      <c r="B352" s="54"/>
      <c r="C352" s="2">
        <v>1</v>
      </c>
      <c r="D352" s="3" t="s">
        <v>86</v>
      </c>
      <c r="E352" s="2">
        <v>2</v>
      </c>
    </row>
    <row r="353" spans="2:11" x14ac:dyDescent="0.25">
      <c r="B353" s="54"/>
      <c r="C353" s="2">
        <v>2</v>
      </c>
      <c r="D353" s="3" t="s">
        <v>84</v>
      </c>
      <c r="E353" s="2">
        <v>2</v>
      </c>
    </row>
    <row r="354" spans="2:11" s="4" customFormat="1" ht="14.25" customHeight="1" x14ac:dyDescent="0.25">
      <c r="B354" s="54"/>
      <c r="C354" s="5"/>
      <c r="D354" s="6" t="s">
        <v>77</v>
      </c>
      <c r="E354" s="5">
        <v>4</v>
      </c>
      <c r="F354" s="5"/>
      <c r="G354" s="5"/>
      <c r="H354" s="5"/>
      <c r="I354" s="5"/>
      <c r="J354" s="5"/>
      <c r="K354" s="5"/>
    </row>
    <row r="355" spans="2:11" x14ac:dyDescent="0.25">
      <c r="B355" s="54"/>
      <c r="C355" s="2">
        <v>1</v>
      </c>
      <c r="D355" s="3" t="s">
        <v>86</v>
      </c>
      <c r="E355" s="2">
        <v>2</v>
      </c>
    </row>
    <row r="356" spans="2:11" s="4" customFormat="1" ht="14.25" customHeight="1" x14ac:dyDescent="0.25">
      <c r="B356" s="54"/>
      <c r="C356" s="5"/>
      <c r="D356" s="6" t="s">
        <v>77</v>
      </c>
      <c r="E356" s="5">
        <v>2</v>
      </c>
      <c r="F356" s="5"/>
      <c r="G356" s="5"/>
      <c r="H356" s="5"/>
      <c r="I356" s="5"/>
      <c r="J356" s="5"/>
      <c r="K356" s="5"/>
    </row>
    <row r="357" spans="2:11" x14ac:dyDescent="0.25">
      <c r="B357" s="54"/>
      <c r="C357" s="2">
        <v>1</v>
      </c>
      <c r="D357" s="3" t="s">
        <v>85</v>
      </c>
      <c r="E357" s="2">
        <v>4</v>
      </c>
    </row>
    <row r="358" spans="2:11" x14ac:dyDescent="0.25">
      <c r="B358" s="54"/>
      <c r="C358" s="2">
        <v>2</v>
      </c>
      <c r="D358" s="3" t="s">
        <v>84</v>
      </c>
      <c r="E358" s="2">
        <v>2</v>
      </c>
    </row>
    <row r="359" spans="2:11" s="4" customFormat="1" ht="14.25" customHeight="1" x14ac:dyDescent="0.25">
      <c r="B359" s="54"/>
      <c r="C359" s="5"/>
      <c r="D359" s="6" t="s">
        <v>77</v>
      </c>
      <c r="E359" s="5">
        <v>6</v>
      </c>
      <c r="F359" s="5"/>
      <c r="G359" s="5"/>
      <c r="H359" s="5"/>
      <c r="I359" s="5"/>
      <c r="J359" s="5"/>
      <c r="K359" s="5"/>
    </row>
    <row r="360" spans="2:11" x14ac:dyDescent="0.25">
      <c r="B360" s="54"/>
      <c r="C360" s="2">
        <v>1</v>
      </c>
      <c r="D360" s="3" t="s">
        <v>84</v>
      </c>
      <c r="E360" s="2">
        <v>2</v>
      </c>
    </row>
    <row r="361" spans="2:11" s="4" customFormat="1" ht="14.25" customHeight="1" x14ac:dyDescent="0.25">
      <c r="B361" s="54"/>
      <c r="C361" s="5"/>
      <c r="D361" s="6" t="s">
        <v>77</v>
      </c>
      <c r="E361" s="5">
        <v>2</v>
      </c>
      <c r="F361" s="5"/>
      <c r="G361" s="5"/>
      <c r="H361" s="5"/>
      <c r="I361" s="5"/>
      <c r="J361" s="5"/>
      <c r="K361" s="5"/>
    </row>
    <row r="362" spans="2:11" x14ac:dyDescent="0.25">
      <c r="B362" s="54"/>
      <c r="C362" s="2">
        <v>1</v>
      </c>
      <c r="D362" s="3" t="s">
        <v>83</v>
      </c>
      <c r="E362" s="2">
        <v>2</v>
      </c>
    </row>
    <row r="363" spans="2:11" x14ac:dyDescent="0.25">
      <c r="B363" s="54"/>
      <c r="C363" s="2">
        <v>2</v>
      </c>
      <c r="D363" s="3" t="s">
        <v>79</v>
      </c>
      <c r="E363" s="2">
        <v>4</v>
      </c>
    </row>
    <row r="364" spans="2:11" s="4" customFormat="1" ht="14.25" customHeight="1" x14ac:dyDescent="0.25">
      <c r="B364" s="54"/>
      <c r="C364" s="5"/>
      <c r="D364" s="6" t="s">
        <v>77</v>
      </c>
      <c r="E364" s="5">
        <v>6</v>
      </c>
      <c r="F364" s="5"/>
      <c r="G364" s="5"/>
      <c r="H364" s="5"/>
      <c r="I364" s="5"/>
      <c r="J364" s="5"/>
      <c r="K364" s="5"/>
    </row>
    <row r="365" spans="2:11" x14ac:dyDescent="0.25">
      <c r="B365" s="54"/>
      <c r="C365" s="2">
        <v>1</v>
      </c>
      <c r="D365" s="3" t="s">
        <v>79</v>
      </c>
      <c r="E365" s="2">
        <v>2</v>
      </c>
    </row>
    <row r="366" spans="2:11" x14ac:dyDescent="0.25">
      <c r="B366" s="55"/>
      <c r="C366" s="2">
        <v>2</v>
      </c>
      <c r="D366" s="3" t="s">
        <v>80</v>
      </c>
      <c r="E366" s="2">
        <v>2</v>
      </c>
    </row>
    <row r="367" spans="2:11" x14ac:dyDescent="0.25">
      <c r="B367" s="55"/>
      <c r="C367" s="2">
        <v>3</v>
      </c>
      <c r="D367" s="3" t="s">
        <v>79</v>
      </c>
      <c r="E367" s="2">
        <v>2</v>
      </c>
    </row>
    <row r="368" spans="2:11" s="4" customFormat="1" ht="14.25" customHeight="1" x14ac:dyDescent="0.25">
      <c r="B368" s="55"/>
      <c r="C368" s="5">
        <v>4</v>
      </c>
      <c r="D368" s="6" t="s">
        <v>82</v>
      </c>
      <c r="E368" s="5">
        <v>2</v>
      </c>
      <c r="F368" s="5"/>
      <c r="G368" s="5" t="s">
        <v>4</v>
      </c>
      <c r="H368" s="5"/>
      <c r="I368" s="5"/>
      <c r="J368" s="5"/>
      <c r="K368" s="5"/>
    </row>
    <row r="369" spans="2:11" x14ac:dyDescent="0.25">
      <c r="D369" s="6" t="s">
        <v>77</v>
      </c>
      <c r="E369" s="2">
        <v>8</v>
      </c>
      <c r="H369" s="5"/>
    </row>
    <row r="370" spans="2:11" x14ac:dyDescent="0.25">
      <c r="B370" s="54"/>
      <c r="C370" s="2">
        <v>1</v>
      </c>
      <c r="D370" s="3" t="s">
        <v>81</v>
      </c>
      <c r="E370" s="2">
        <v>2</v>
      </c>
    </row>
    <row r="371" spans="2:11" x14ac:dyDescent="0.25">
      <c r="B371" s="55"/>
      <c r="C371" s="2">
        <v>2</v>
      </c>
      <c r="D371" s="3" t="s">
        <v>80</v>
      </c>
      <c r="E371" s="2">
        <v>2</v>
      </c>
    </row>
    <row r="372" spans="2:11" x14ac:dyDescent="0.25">
      <c r="B372" s="55"/>
      <c r="C372" s="2">
        <v>3</v>
      </c>
      <c r="D372" s="3" t="s">
        <v>79</v>
      </c>
      <c r="E372" s="2">
        <v>2</v>
      </c>
    </row>
    <row r="373" spans="2:11" x14ac:dyDescent="0.25">
      <c r="D373" s="6" t="s">
        <v>77</v>
      </c>
      <c r="E373" s="2">
        <v>6</v>
      </c>
      <c r="H373" s="5"/>
    </row>
    <row r="374" spans="2:11" x14ac:dyDescent="0.25">
      <c r="B374" s="54"/>
      <c r="C374" s="2">
        <v>1</v>
      </c>
      <c r="D374" s="3" t="s">
        <v>78</v>
      </c>
      <c r="E374" s="2">
        <v>2</v>
      </c>
    </row>
    <row r="375" spans="2:11" s="4" customFormat="1" ht="14.25" customHeight="1" x14ac:dyDescent="0.25">
      <c r="B375" s="54"/>
      <c r="C375" s="5"/>
      <c r="D375" s="6" t="s">
        <v>77</v>
      </c>
      <c r="E375" s="5">
        <v>2</v>
      </c>
      <c r="F375" s="5"/>
      <c r="G375" s="5"/>
      <c r="H375" s="5"/>
      <c r="I375" s="5"/>
      <c r="J375" s="5"/>
      <c r="K375" s="5"/>
    </row>
    <row r="376" spans="2:11" x14ac:dyDescent="0.25">
      <c r="B376" s="54"/>
      <c r="C376" s="2">
        <v>1</v>
      </c>
      <c r="D376" s="3" t="s">
        <v>76</v>
      </c>
      <c r="E376" s="2">
        <v>2</v>
      </c>
    </row>
    <row r="377" spans="2:11" x14ac:dyDescent="0.25">
      <c r="B377" s="54"/>
      <c r="C377" s="2">
        <v>2</v>
      </c>
      <c r="D377" s="3" t="s">
        <v>75</v>
      </c>
      <c r="E377" s="2">
        <v>2</v>
      </c>
    </row>
    <row r="378" spans="2:11" x14ac:dyDescent="0.25">
      <c r="B378" s="54"/>
      <c r="C378" s="2">
        <v>3</v>
      </c>
      <c r="D378" s="3" t="s">
        <v>63</v>
      </c>
      <c r="E378" s="2">
        <v>2</v>
      </c>
    </row>
    <row r="379" spans="2:11" x14ac:dyDescent="0.25">
      <c r="B379" s="54"/>
      <c r="C379" s="2">
        <v>4</v>
      </c>
      <c r="D379" s="3" t="s">
        <v>25</v>
      </c>
      <c r="E379" s="2">
        <v>2</v>
      </c>
    </row>
    <row r="380" spans="2:11" x14ac:dyDescent="0.25">
      <c r="B380" s="54"/>
      <c r="C380" s="2">
        <v>5</v>
      </c>
      <c r="D380" s="3" t="s">
        <v>7</v>
      </c>
      <c r="E380" s="2">
        <v>2</v>
      </c>
    </row>
    <row r="381" spans="2:11" s="4" customFormat="1" ht="14.25" customHeight="1" x14ac:dyDescent="0.25">
      <c r="B381" s="54"/>
      <c r="C381" s="5"/>
      <c r="D381" s="6" t="s">
        <v>3</v>
      </c>
      <c r="E381" s="5">
        <v>10</v>
      </c>
      <c r="F381" s="5"/>
      <c r="G381" s="5" t="s">
        <v>4</v>
      </c>
      <c r="H381" s="5"/>
      <c r="I381" s="5"/>
      <c r="J381" s="5"/>
      <c r="K381" s="5"/>
    </row>
    <row r="382" spans="2:11" x14ac:dyDescent="0.25">
      <c r="B382" s="54"/>
      <c r="C382" s="2">
        <v>1</v>
      </c>
      <c r="D382" s="3" t="s">
        <v>76</v>
      </c>
      <c r="E382" s="2">
        <v>2</v>
      </c>
    </row>
    <row r="383" spans="2:11" x14ac:dyDescent="0.25">
      <c r="B383" s="54"/>
      <c r="C383" s="2">
        <v>2</v>
      </c>
      <c r="D383" s="3" t="s">
        <v>75</v>
      </c>
      <c r="E383" s="2">
        <v>2</v>
      </c>
    </row>
    <row r="384" spans="2:11" x14ac:dyDescent="0.25">
      <c r="B384" s="54"/>
      <c r="C384" s="2">
        <v>3</v>
      </c>
      <c r="D384" s="3" t="s">
        <v>63</v>
      </c>
      <c r="E384" s="2">
        <v>1</v>
      </c>
    </row>
    <row r="385" spans="2:11" x14ac:dyDescent="0.25">
      <c r="B385" s="54"/>
      <c r="C385" s="2">
        <v>4</v>
      </c>
      <c r="D385" s="3" t="s">
        <v>74</v>
      </c>
      <c r="E385" s="2">
        <v>2</v>
      </c>
    </row>
    <row r="386" spans="2:11" x14ac:dyDescent="0.25">
      <c r="B386" s="54"/>
      <c r="C386" s="2">
        <v>5</v>
      </c>
      <c r="D386" s="3" t="s">
        <v>7</v>
      </c>
      <c r="E386" s="2">
        <v>1</v>
      </c>
    </row>
    <row r="387" spans="2:11" s="4" customFormat="1" ht="14.25" customHeight="1" x14ac:dyDescent="0.25">
      <c r="B387" s="54"/>
      <c r="C387" s="5"/>
      <c r="D387" s="6" t="s">
        <v>3</v>
      </c>
      <c r="E387" s="5">
        <v>8</v>
      </c>
      <c r="F387" s="5"/>
      <c r="G387" s="5" t="s">
        <v>4</v>
      </c>
      <c r="H387" s="5"/>
      <c r="I387" s="5"/>
      <c r="J387" s="5"/>
      <c r="K387" s="5"/>
    </row>
    <row r="388" spans="2:11" x14ac:dyDescent="0.25">
      <c r="B388" s="54"/>
      <c r="C388" s="2">
        <v>1</v>
      </c>
      <c r="D388" s="3" t="s">
        <v>76</v>
      </c>
      <c r="E388" s="2">
        <v>2</v>
      </c>
    </row>
    <row r="389" spans="2:11" x14ac:dyDescent="0.25">
      <c r="B389" s="54"/>
      <c r="C389" s="2">
        <v>2</v>
      </c>
      <c r="D389" s="3" t="s">
        <v>75</v>
      </c>
      <c r="E389" s="2">
        <v>2</v>
      </c>
    </row>
    <row r="390" spans="2:11" x14ac:dyDescent="0.25">
      <c r="B390" s="54"/>
      <c r="C390" s="2">
        <v>3</v>
      </c>
      <c r="D390" s="3" t="s">
        <v>63</v>
      </c>
      <c r="E390" s="2">
        <v>1</v>
      </c>
    </row>
    <row r="391" spans="2:11" x14ac:dyDescent="0.25">
      <c r="B391" s="54"/>
      <c r="C391" s="2">
        <v>4</v>
      </c>
      <c r="D391" s="3" t="s">
        <v>74</v>
      </c>
      <c r="E391" s="2">
        <v>2</v>
      </c>
    </row>
    <row r="392" spans="2:11" s="4" customFormat="1" ht="6.75" customHeight="1" x14ac:dyDescent="0.25">
      <c r="B392" s="54"/>
      <c r="C392" s="5"/>
      <c r="D392" s="6" t="s">
        <v>3</v>
      </c>
      <c r="E392" s="5">
        <v>7</v>
      </c>
      <c r="F392" s="5"/>
      <c r="G392" s="5" t="s">
        <v>4</v>
      </c>
      <c r="H392" s="5"/>
      <c r="I392" s="5"/>
      <c r="J392" s="5"/>
      <c r="K392" s="5"/>
    </row>
    <row r="393" spans="2:11" ht="36.75" customHeight="1" x14ac:dyDescent="0.25">
      <c r="B393" s="54"/>
      <c r="C393" s="2">
        <v>1</v>
      </c>
      <c r="D393" s="3" t="s">
        <v>66</v>
      </c>
      <c r="E393" s="2">
        <v>2</v>
      </c>
      <c r="F393" s="2" t="s">
        <v>72</v>
      </c>
    </row>
    <row r="394" spans="2:11" ht="38.25" x14ac:dyDescent="0.25">
      <c r="B394" s="54"/>
      <c r="C394" s="2">
        <v>2</v>
      </c>
      <c r="D394" s="3" t="s">
        <v>58</v>
      </c>
      <c r="E394" s="2">
        <v>2</v>
      </c>
      <c r="F394" s="2" t="s">
        <v>65</v>
      </c>
      <c r="G394" s="7" t="s">
        <v>70</v>
      </c>
    </row>
    <row r="395" spans="2:11" x14ac:dyDescent="0.25">
      <c r="B395" s="54"/>
      <c r="C395" s="2">
        <v>3</v>
      </c>
      <c r="D395" s="3" t="s">
        <v>73</v>
      </c>
      <c r="E395" s="2">
        <v>1</v>
      </c>
      <c r="F395" s="2" t="s">
        <v>62</v>
      </c>
    </row>
    <row r="396" spans="2:11" x14ac:dyDescent="0.25">
      <c r="B396" s="54"/>
    </row>
    <row r="397" spans="2:11" s="4" customFormat="1" ht="14.25" customHeight="1" x14ac:dyDescent="0.25">
      <c r="B397" s="54"/>
      <c r="C397" s="5"/>
      <c r="D397" s="6" t="s">
        <v>3</v>
      </c>
      <c r="E397" s="5">
        <v>5</v>
      </c>
      <c r="F397" s="5"/>
      <c r="G397" s="5" t="s">
        <v>4</v>
      </c>
      <c r="H397" s="5"/>
      <c r="I397" s="5"/>
      <c r="J397" s="5"/>
      <c r="K397" s="5"/>
    </row>
    <row r="398" spans="2:11" x14ac:dyDescent="0.25">
      <c r="B398" s="54"/>
      <c r="C398" s="2">
        <v>1</v>
      </c>
      <c r="D398" s="3" t="s">
        <v>66</v>
      </c>
      <c r="E398" s="2">
        <v>1</v>
      </c>
      <c r="F398" s="2" t="s">
        <v>72</v>
      </c>
      <c r="H398" s="2" t="s">
        <v>71</v>
      </c>
      <c r="I398" s="2">
        <v>1</v>
      </c>
    </row>
    <row r="399" spans="2:11" ht="38.25" x14ac:dyDescent="0.25">
      <c r="B399" s="54"/>
      <c r="C399" s="2">
        <v>2</v>
      </c>
      <c r="D399" s="3" t="s">
        <v>58</v>
      </c>
      <c r="E399" s="2">
        <v>2</v>
      </c>
      <c r="F399" s="2" t="s">
        <v>65</v>
      </c>
      <c r="G399" s="7" t="s">
        <v>70</v>
      </c>
      <c r="H399" s="2" t="s">
        <v>69</v>
      </c>
      <c r="I399" s="2">
        <v>3</v>
      </c>
    </row>
    <row r="400" spans="2:11" x14ac:dyDescent="0.25">
      <c r="B400" s="54"/>
      <c r="C400" s="2">
        <v>3</v>
      </c>
      <c r="D400" s="3" t="s">
        <v>68</v>
      </c>
      <c r="E400" s="2">
        <v>2</v>
      </c>
      <c r="F400" s="2" t="s">
        <v>62</v>
      </c>
      <c r="H400" s="2" t="s">
        <v>67</v>
      </c>
      <c r="I400" s="2">
        <v>3</v>
      </c>
    </row>
    <row r="401" spans="2:11" s="4" customFormat="1" ht="14.25" customHeight="1" x14ac:dyDescent="0.25">
      <c r="B401" s="54"/>
      <c r="C401" s="5"/>
      <c r="D401" s="6" t="s">
        <v>3</v>
      </c>
      <c r="E401" s="5">
        <v>5</v>
      </c>
      <c r="F401" s="5"/>
      <c r="G401" s="5" t="s">
        <v>4</v>
      </c>
      <c r="H401" s="5" t="s">
        <v>3</v>
      </c>
      <c r="I401" s="5">
        <v>5</v>
      </c>
      <c r="J401" s="5"/>
      <c r="K401" s="5"/>
    </row>
    <row r="402" spans="2:11" ht="38.25" x14ac:dyDescent="0.25">
      <c r="B402" s="54"/>
      <c r="C402" s="2">
        <v>1</v>
      </c>
      <c r="D402" s="3" t="s">
        <v>66</v>
      </c>
      <c r="E402" s="2">
        <v>1</v>
      </c>
      <c r="F402" s="2" t="s">
        <v>65</v>
      </c>
      <c r="G402" s="7" t="s">
        <v>64</v>
      </c>
      <c r="H402" s="2" t="s">
        <v>59</v>
      </c>
      <c r="I402" s="2">
        <v>5</v>
      </c>
    </row>
    <row r="403" spans="2:11" x14ac:dyDescent="0.25">
      <c r="B403" s="54"/>
      <c r="C403" s="2">
        <v>2</v>
      </c>
      <c r="D403" s="3" t="s">
        <v>63</v>
      </c>
      <c r="E403" s="2">
        <v>2</v>
      </c>
      <c r="F403" s="2" t="s">
        <v>62</v>
      </c>
      <c r="G403" s="7"/>
      <c r="H403" s="2" t="s">
        <v>56</v>
      </c>
      <c r="I403" s="2">
        <v>2</v>
      </c>
    </row>
    <row r="404" spans="2:11" x14ac:dyDescent="0.25">
      <c r="B404" s="54"/>
      <c r="C404" s="2">
        <v>3</v>
      </c>
      <c r="D404" s="3" t="s">
        <v>55</v>
      </c>
      <c r="E404" s="2">
        <v>2</v>
      </c>
      <c r="F404" s="2" t="s">
        <v>61</v>
      </c>
    </row>
    <row r="405" spans="2:11" s="4" customFormat="1" ht="14.25" customHeight="1" x14ac:dyDescent="0.25">
      <c r="B405" s="54"/>
      <c r="C405" s="5"/>
      <c r="D405" s="6" t="s">
        <v>3</v>
      </c>
      <c r="E405" s="5">
        <v>5</v>
      </c>
      <c r="F405" s="5"/>
      <c r="G405" s="5" t="s">
        <v>4</v>
      </c>
      <c r="H405" s="5" t="s">
        <v>3</v>
      </c>
      <c r="I405" s="5">
        <v>7</v>
      </c>
      <c r="J405" s="5"/>
      <c r="K405" s="5"/>
    </row>
    <row r="406" spans="2:11" x14ac:dyDescent="0.25">
      <c r="B406" s="54"/>
      <c r="C406" s="2">
        <v>1</v>
      </c>
      <c r="D406" s="3" t="s">
        <v>60</v>
      </c>
      <c r="E406" s="2">
        <v>2</v>
      </c>
      <c r="F406" s="2" t="s">
        <v>52</v>
      </c>
      <c r="G406" s="7"/>
      <c r="H406" s="2" t="s">
        <v>59</v>
      </c>
      <c r="I406" s="2">
        <v>1</v>
      </c>
    </row>
    <row r="407" spans="2:11" x14ac:dyDescent="0.25">
      <c r="B407" s="54"/>
      <c r="C407" s="2">
        <v>2</v>
      </c>
      <c r="D407" s="3" t="s">
        <v>58</v>
      </c>
      <c r="E407" s="2">
        <v>2</v>
      </c>
      <c r="F407" s="2" t="s">
        <v>57</v>
      </c>
      <c r="G407" s="7"/>
      <c r="H407" s="2" t="s">
        <v>56</v>
      </c>
      <c r="I407" s="2">
        <v>6</v>
      </c>
    </row>
    <row r="408" spans="2:11" x14ac:dyDescent="0.25">
      <c r="B408" s="54"/>
      <c r="C408" s="2">
        <v>3</v>
      </c>
      <c r="D408" s="3" t="s">
        <v>55</v>
      </c>
      <c r="E408" s="2">
        <v>2</v>
      </c>
      <c r="F408" s="2" t="s">
        <v>54</v>
      </c>
    </row>
    <row r="409" spans="2:11" s="4" customFormat="1" ht="14.25" customHeight="1" x14ac:dyDescent="0.25">
      <c r="B409" s="54"/>
      <c r="C409" s="5"/>
      <c r="D409" s="6" t="s">
        <v>3</v>
      </c>
      <c r="E409" s="5">
        <v>6</v>
      </c>
      <c r="F409" s="5"/>
      <c r="G409" s="5" t="s">
        <v>4</v>
      </c>
      <c r="H409" s="5" t="s">
        <v>3</v>
      </c>
      <c r="I409" s="5">
        <v>7</v>
      </c>
      <c r="J409" s="5"/>
      <c r="K409" s="5"/>
    </row>
    <row r="410" spans="2:11" x14ac:dyDescent="0.25">
      <c r="B410" s="54" t="s">
        <v>53</v>
      </c>
      <c r="C410" s="2">
        <v>1</v>
      </c>
      <c r="D410" s="3" t="s">
        <v>13</v>
      </c>
      <c r="E410" s="2">
        <v>2</v>
      </c>
      <c r="F410" s="2" t="s">
        <v>52</v>
      </c>
      <c r="G410" s="7"/>
      <c r="H410" s="2" t="s">
        <v>51</v>
      </c>
      <c r="I410" s="2">
        <v>2</v>
      </c>
    </row>
    <row r="411" spans="2:11" x14ac:dyDescent="0.25">
      <c r="B411" s="54"/>
      <c r="C411" s="2">
        <v>2</v>
      </c>
      <c r="D411" s="3" t="s">
        <v>44</v>
      </c>
      <c r="E411" s="2">
        <v>4</v>
      </c>
      <c r="F411" s="2" t="s">
        <v>43</v>
      </c>
      <c r="G411" s="7"/>
      <c r="H411" s="2" t="s">
        <v>50</v>
      </c>
      <c r="I411" s="2">
        <v>3</v>
      </c>
    </row>
    <row r="412" spans="2:11" x14ac:dyDescent="0.25">
      <c r="B412" s="54"/>
      <c r="C412" s="2">
        <v>3</v>
      </c>
      <c r="D412" s="3" t="s">
        <v>17</v>
      </c>
      <c r="E412" s="2">
        <v>2</v>
      </c>
      <c r="F412" s="2" t="s">
        <v>49</v>
      </c>
      <c r="H412" s="2" t="s">
        <v>48</v>
      </c>
      <c r="I412" s="2">
        <v>2</v>
      </c>
    </row>
    <row r="413" spans="2:11" s="4" customFormat="1" ht="14.25" customHeight="1" x14ac:dyDescent="0.25">
      <c r="B413" s="54"/>
      <c r="C413" s="5"/>
      <c r="D413" s="6" t="s">
        <v>3</v>
      </c>
      <c r="E413" s="5">
        <v>8</v>
      </c>
      <c r="F413" s="5"/>
      <c r="G413" s="5" t="s">
        <v>4</v>
      </c>
      <c r="H413" s="5" t="s">
        <v>3</v>
      </c>
      <c r="I413" s="5">
        <v>7</v>
      </c>
      <c r="J413" s="5"/>
      <c r="K413" s="5"/>
    </row>
    <row r="414" spans="2:11" ht="6.75" customHeight="1" x14ac:dyDescent="0.25">
      <c r="B414" s="54" t="s">
        <v>47</v>
      </c>
      <c r="C414" s="2">
        <v>1</v>
      </c>
      <c r="D414" s="3" t="s">
        <v>13</v>
      </c>
      <c r="E414" s="2">
        <v>2</v>
      </c>
      <c r="F414" s="2" t="s">
        <v>46</v>
      </c>
      <c r="G414" s="7"/>
      <c r="H414" s="2" t="s">
        <v>45</v>
      </c>
      <c r="I414" s="2">
        <v>5</v>
      </c>
    </row>
    <row r="415" spans="2:11" x14ac:dyDescent="0.25">
      <c r="B415" s="54"/>
      <c r="C415" s="2">
        <v>2</v>
      </c>
      <c r="D415" s="3" t="s">
        <v>44</v>
      </c>
      <c r="E415" s="2">
        <v>2</v>
      </c>
      <c r="F415" s="2" t="s">
        <v>43</v>
      </c>
      <c r="G415" s="7"/>
      <c r="H415" s="2" t="s">
        <v>42</v>
      </c>
      <c r="I415" s="2">
        <v>2</v>
      </c>
    </row>
    <row r="416" spans="2:11" x14ac:dyDescent="0.25">
      <c r="B416" s="54"/>
      <c r="C416" s="2">
        <v>3</v>
      </c>
      <c r="D416" s="3" t="s">
        <v>18</v>
      </c>
      <c r="E416" s="2">
        <v>2</v>
      </c>
      <c r="F416" s="2" t="s">
        <v>41</v>
      </c>
      <c r="G416" s="7"/>
    </row>
    <row r="417" spans="2:11" x14ac:dyDescent="0.25">
      <c r="B417" s="54"/>
      <c r="C417" s="2">
        <v>4</v>
      </c>
      <c r="D417" s="3" t="s">
        <v>25</v>
      </c>
      <c r="E417" s="2">
        <v>2</v>
      </c>
      <c r="F417" s="2" t="s">
        <v>40</v>
      </c>
    </row>
    <row r="418" spans="2:11" s="4" customFormat="1" ht="14.25" customHeight="1" x14ac:dyDescent="0.25">
      <c r="B418" s="54"/>
      <c r="C418" s="5"/>
      <c r="D418" s="6" t="s">
        <v>3</v>
      </c>
      <c r="E418" s="5">
        <v>8</v>
      </c>
      <c r="F418" s="5"/>
      <c r="G418" s="5" t="s">
        <v>4</v>
      </c>
      <c r="H418" s="5" t="s">
        <v>3</v>
      </c>
      <c r="I418" s="5">
        <v>7</v>
      </c>
      <c r="J418" s="5"/>
      <c r="K418" s="5"/>
    </row>
    <row r="419" spans="2:11" x14ac:dyDescent="0.25">
      <c r="B419" s="54" t="s">
        <v>39</v>
      </c>
      <c r="C419" s="2">
        <v>1</v>
      </c>
      <c r="D419" s="3" t="s">
        <v>13</v>
      </c>
      <c r="E419" s="2">
        <v>2</v>
      </c>
      <c r="F419" s="2" t="s">
        <v>38</v>
      </c>
      <c r="G419" s="7"/>
      <c r="H419" s="2" t="s">
        <v>37</v>
      </c>
      <c r="I419" s="2">
        <v>5</v>
      </c>
    </row>
    <row r="420" spans="2:11" x14ac:dyDescent="0.25">
      <c r="B420" s="54"/>
      <c r="C420" s="2">
        <v>2</v>
      </c>
      <c r="D420" s="3" t="s">
        <v>17</v>
      </c>
      <c r="E420" s="2">
        <v>2</v>
      </c>
      <c r="F420" s="2" t="s">
        <v>36</v>
      </c>
      <c r="G420" s="7"/>
      <c r="H420" s="2" t="s">
        <v>35</v>
      </c>
      <c r="I420" s="2">
        <v>2</v>
      </c>
    </row>
    <row r="421" spans="2:11" x14ac:dyDescent="0.25">
      <c r="B421" s="54"/>
      <c r="C421" s="2">
        <v>3</v>
      </c>
      <c r="D421" s="3" t="s">
        <v>18</v>
      </c>
      <c r="E421" s="2">
        <v>2</v>
      </c>
      <c r="F421" s="2" t="s">
        <v>34</v>
      </c>
      <c r="G421" s="7"/>
      <c r="H421" s="2" t="s">
        <v>33</v>
      </c>
      <c r="I421" s="2">
        <v>3</v>
      </c>
    </row>
    <row r="422" spans="2:11" s="4" customFormat="1" ht="14.25" customHeight="1" x14ac:dyDescent="0.25">
      <c r="B422" s="54"/>
      <c r="C422" s="5"/>
      <c r="D422" s="6" t="s">
        <v>3</v>
      </c>
      <c r="E422" s="5">
        <v>6</v>
      </c>
      <c r="F422" s="5"/>
      <c r="G422" s="5" t="s">
        <v>4</v>
      </c>
      <c r="H422" s="5" t="s">
        <v>3</v>
      </c>
      <c r="I422" s="5">
        <v>10</v>
      </c>
      <c r="J422" s="5"/>
      <c r="K422" s="5"/>
    </row>
    <row r="423" spans="2:11" ht="17.25" customHeight="1" x14ac:dyDescent="0.25">
      <c r="B423" s="54" t="s">
        <v>32</v>
      </c>
      <c r="C423" s="2">
        <v>1</v>
      </c>
      <c r="D423" s="3" t="s">
        <v>31</v>
      </c>
      <c r="E423" s="2">
        <v>1</v>
      </c>
      <c r="F423" s="2" t="s">
        <v>30</v>
      </c>
      <c r="G423" s="7"/>
      <c r="H423" s="2" t="s">
        <v>29</v>
      </c>
      <c r="I423" s="2">
        <v>6</v>
      </c>
    </row>
    <row r="424" spans="2:11" ht="17.25" customHeight="1" x14ac:dyDescent="0.25">
      <c r="B424" s="54"/>
      <c r="C424" s="2">
        <v>2</v>
      </c>
      <c r="D424" s="3" t="s">
        <v>21</v>
      </c>
      <c r="E424" s="2">
        <v>2</v>
      </c>
      <c r="F424" s="2" t="s">
        <v>28</v>
      </c>
      <c r="G424" s="7"/>
      <c r="H424" s="2" t="s">
        <v>27</v>
      </c>
      <c r="I424" s="2">
        <v>2</v>
      </c>
    </row>
    <row r="425" spans="2:11" ht="17.25" customHeight="1" x14ac:dyDescent="0.25">
      <c r="B425" s="54"/>
      <c r="C425" s="2">
        <v>3</v>
      </c>
      <c r="D425" s="3" t="s">
        <v>18</v>
      </c>
      <c r="E425" s="2">
        <v>2</v>
      </c>
      <c r="F425" s="2" t="s">
        <v>9</v>
      </c>
      <c r="G425" s="7"/>
      <c r="H425" s="2" t="s">
        <v>26</v>
      </c>
      <c r="I425" s="2">
        <v>2</v>
      </c>
    </row>
    <row r="426" spans="2:11" ht="17.25" customHeight="1" x14ac:dyDescent="0.25">
      <c r="B426" s="54"/>
      <c r="C426" s="2">
        <v>4</v>
      </c>
      <c r="D426" s="3" t="s">
        <v>25</v>
      </c>
      <c r="E426" s="2">
        <v>2</v>
      </c>
      <c r="F426" s="2" t="s">
        <v>24</v>
      </c>
    </row>
    <row r="427" spans="2:11" s="4" customFormat="1" ht="17.25" customHeight="1" x14ac:dyDescent="0.25">
      <c r="B427" s="54"/>
      <c r="C427" s="5"/>
      <c r="D427" s="6" t="s">
        <v>3</v>
      </c>
      <c r="E427" s="5">
        <v>7</v>
      </c>
      <c r="F427" s="5"/>
      <c r="G427" s="5" t="s">
        <v>4</v>
      </c>
      <c r="H427" s="5" t="s">
        <v>3</v>
      </c>
      <c r="I427" s="5">
        <v>10</v>
      </c>
      <c r="J427" s="5"/>
      <c r="K427" s="5"/>
    </row>
    <row r="428" spans="2:11" ht="17.25" customHeight="1" x14ac:dyDescent="0.25">
      <c r="B428" s="54" t="s">
        <v>23</v>
      </c>
      <c r="C428" s="2">
        <v>1</v>
      </c>
      <c r="D428" s="3" t="s">
        <v>13</v>
      </c>
      <c r="E428" s="2">
        <v>2</v>
      </c>
      <c r="F428" s="2" t="s">
        <v>12</v>
      </c>
      <c r="G428" s="7"/>
      <c r="H428" s="2" t="s">
        <v>22</v>
      </c>
      <c r="I428" s="2">
        <v>2</v>
      </c>
    </row>
    <row r="429" spans="2:11" ht="17.25" customHeight="1" x14ac:dyDescent="0.25">
      <c r="B429" s="54"/>
      <c r="C429" s="2">
        <v>2</v>
      </c>
      <c r="D429" s="3" t="s">
        <v>21</v>
      </c>
      <c r="E429" s="2">
        <v>2</v>
      </c>
      <c r="F429" s="2" t="s">
        <v>20</v>
      </c>
      <c r="G429" s="7"/>
      <c r="H429" s="2" t="s">
        <v>19</v>
      </c>
      <c r="I429" s="2">
        <v>2</v>
      </c>
    </row>
    <row r="430" spans="2:11" ht="17.25" customHeight="1" x14ac:dyDescent="0.25">
      <c r="B430" s="54"/>
      <c r="C430" s="2">
        <v>3</v>
      </c>
      <c r="D430" s="3" t="s">
        <v>18</v>
      </c>
      <c r="E430" s="2">
        <v>1</v>
      </c>
      <c r="F430" s="2" t="s">
        <v>9</v>
      </c>
      <c r="G430" s="7"/>
      <c r="H430" s="2" t="s">
        <v>5</v>
      </c>
      <c r="I430" s="2">
        <v>2</v>
      </c>
    </row>
    <row r="431" spans="2:11" ht="17.25" customHeight="1" x14ac:dyDescent="0.25">
      <c r="B431" s="54"/>
      <c r="C431" s="2">
        <v>4</v>
      </c>
      <c r="D431" s="3" t="s">
        <v>17</v>
      </c>
      <c r="E431" s="2">
        <v>2</v>
      </c>
      <c r="F431" s="2" t="s">
        <v>16</v>
      </c>
      <c r="H431" s="2" t="s">
        <v>15</v>
      </c>
      <c r="I431" s="2">
        <v>3</v>
      </c>
    </row>
    <row r="432" spans="2:11" s="4" customFormat="1" ht="17.25" customHeight="1" x14ac:dyDescent="0.25">
      <c r="B432" s="54"/>
      <c r="C432" s="5"/>
      <c r="D432" s="6" t="s">
        <v>3</v>
      </c>
      <c r="E432" s="5">
        <v>7</v>
      </c>
      <c r="F432" s="5"/>
      <c r="G432" s="5" t="s">
        <v>4</v>
      </c>
      <c r="H432" s="5" t="s">
        <v>3</v>
      </c>
      <c r="I432" s="5">
        <v>9</v>
      </c>
      <c r="J432" s="5"/>
      <c r="K432" s="5"/>
    </row>
    <row r="433" spans="2:11" ht="17.25" customHeight="1" x14ac:dyDescent="0.25">
      <c r="B433" s="54" t="s">
        <v>14</v>
      </c>
      <c r="C433" s="2">
        <v>1</v>
      </c>
      <c r="D433" s="3" t="s">
        <v>13</v>
      </c>
      <c r="E433" s="2">
        <v>2</v>
      </c>
      <c r="F433" s="2" t="s">
        <v>12</v>
      </c>
      <c r="G433" s="7"/>
      <c r="H433" s="2" t="s">
        <v>11</v>
      </c>
      <c r="I433" s="2">
        <v>2</v>
      </c>
    </row>
    <row r="434" spans="2:11" ht="17.25" customHeight="1" x14ac:dyDescent="0.25">
      <c r="B434" s="54"/>
      <c r="C434" s="2">
        <v>2</v>
      </c>
      <c r="D434" s="3" t="s">
        <v>10</v>
      </c>
      <c r="E434" s="2">
        <v>2</v>
      </c>
      <c r="F434" s="2" t="s">
        <v>9</v>
      </c>
      <c r="G434" s="7"/>
      <c r="H434" s="2" t="s">
        <v>8</v>
      </c>
      <c r="I434" s="2">
        <v>6</v>
      </c>
    </row>
    <row r="435" spans="2:11" ht="17.25" customHeight="1" x14ac:dyDescent="0.25">
      <c r="B435" s="54"/>
      <c r="C435" s="2">
        <v>3</v>
      </c>
      <c r="D435" s="3" t="s">
        <v>7</v>
      </c>
      <c r="E435" s="2">
        <v>1</v>
      </c>
      <c r="F435" s="2" t="s">
        <v>6</v>
      </c>
      <c r="H435" s="2" t="s">
        <v>5</v>
      </c>
      <c r="I435" s="2">
        <v>2</v>
      </c>
    </row>
    <row r="436" spans="2:11" s="4" customFormat="1" ht="17.25" customHeight="1" x14ac:dyDescent="0.25">
      <c r="B436" s="54"/>
      <c r="C436" s="5"/>
      <c r="D436" s="6" t="s">
        <v>3</v>
      </c>
      <c r="E436" s="5">
        <v>5</v>
      </c>
      <c r="F436" s="5"/>
      <c r="G436" s="5" t="s">
        <v>4</v>
      </c>
      <c r="H436" s="5" t="s">
        <v>3</v>
      </c>
      <c r="I436" s="5">
        <v>10</v>
      </c>
      <c r="J436" s="5"/>
      <c r="K436" s="5"/>
    </row>
  </sheetData>
  <mergeCells count="113">
    <mergeCell ref="B433:B436"/>
    <mergeCell ref="B423:B427"/>
    <mergeCell ref="B414:B418"/>
    <mergeCell ref="H3:K3"/>
    <mergeCell ref="B1:K1"/>
    <mergeCell ref="B3:B4"/>
    <mergeCell ref="B2:K2"/>
    <mergeCell ref="B362:B364"/>
    <mergeCell ref="B365:B368"/>
    <mergeCell ref="C3:G3"/>
    <mergeCell ref="B183:B186"/>
    <mergeCell ref="B146:B150"/>
    <mergeCell ref="B151:B153"/>
    <mergeCell ref="B154:B157"/>
    <mergeCell ref="B172:B177"/>
    <mergeCell ref="B178:B182"/>
    <mergeCell ref="B161:B165"/>
    <mergeCell ref="B166:B171"/>
    <mergeCell ref="C4:D4"/>
    <mergeCell ref="B158:B160"/>
    <mergeCell ref="B44:B47"/>
    <mergeCell ref="B6:B10"/>
    <mergeCell ref="B16:B20"/>
    <mergeCell ref="B21:B24"/>
    <mergeCell ref="B11:B15"/>
    <mergeCell ref="B48:B50"/>
    <mergeCell ref="B51:B55"/>
    <mergeCell ref="B93:B97"/>
    <mergeCell ref="B99:B102"/>
    <mergeCell ref="B103:B104"/>
    <mergeCell ref="B67:B70"/>
    <mergeCell ref="B71:B72"/>
    <mergeCell ref="B78:B82"/>
    <mergeCell ref="B83:B87"/>
    <mergeCell ref="B40:B43"/>
    <mergeCell ref="B25:B28"/>
    <mergeCell ref="B29:B31"/>
    <mergeCell ref="B32:B34"/>
    <mergeCell ref="B35:B39"/>
    <mergeCell ref="B88:B92"/>
    <mergeCell ref="B73:B77"/>
    <mergeCell ref="B56:B59"/>
    <mergeCell ref="B60:B62"/>
    <mergeCell ref="B63:B66"/>
    <mergeCell ref="B141:B145"/>
    <mergeCell ref="B105:B107"/>
    <mergeCell ref="B125:B129"/>
    <mergeCell ref="B130:B135"/>
    <mergeCell ref="B108:B111"/>
    <mergeCell ref="B112:B115"/>
    <mergeCell ref="B116:B119"/>
    <mergeCell ref="B120:B121"/>
    <mergeCell ref="B123:B124"/>
    <mergeCell ref="B136:B140"/>
    <mergeCell ref="B208:B210"/>
    <mergeCell ref="B211:B214"/>
    <mergeCell ref="B215:B218"/>
    <mergeCell ref="B219:B224"/>
    <mergeCell ref="B225:B229"/>
    <mergeCell ref="B248:B253"/>
    <mergeCell ref="B254:B259"/>
    <mergeCell ref="B187:B190"/>
    <mergeCell ref="B191:B195"/>
    <mergeCell ref="B196:B199"/>
    <mergeCell ref="B200:B203"/>
    <mergeCell ref="B204:B207"/>
    <mergeCell ref="B230:B233"/>
    <mergeCell ref="B234:B237"/>
    <mergeCell ref="B238:B239"/>
    <mergeCell ref="B240:B243"/>
    <mergeCell ref="B244:B247"/>
    <mergeCell ref="B267:B270"/>
    <mergeCell ref="B271:B273"/>
    <mergeCell ref="B274:B277"/>
    <mergeCell ref="B260:B266"/>
    <mergeCell ref="B398:B401"/>
    <mergeCell ref="B323:B325"/>
    <mergeCell ref="B326:B328"/>
    <mergeCell ref="B329:B332"/>
    <mergeCell ref="B297:B298"/>
    <mergeCell ref="B299:B300"/>
    <mergeCell ref="B301:B303"/>
    <mergeCell ref="B304:B306"/>
    <mergeCell ref="B360:B361"/>
    <mergeCell ref="B278:B281"/>
    <mergeCell ref="B282:B285"/>
    <mergeCell ref="B286:B289"/>
    <mergeCell ref="B290:B293"/>
    <mergeCell ref="B294:B296"/>
    <mergeCell ref="B307:B309"/>
    <mergeCell ref="B310:B313"/>
    <mergeCell ref="B428:B432"/>
    <mergeCell ref="B419:B422"/>
    <mergeCell ref="B410:B413"/>
    <mergeCell ref="B406:B409"/>
    <mergeCell ref="B315:B318"/>
    <mergeCell ref="B319:B322"/>
    <mergeCell ref="B393:B397"/>
    <mergeCell ref="B333:B335"/>
    <mergeCell ref="B336:B339"/>
    <mergeCell ref="B340:B342"/>
    <mergeCell ref="B343:B345"/>
    <mergeCell ref="B346:B348"/>
    <mergeCell ref="B349:B351"/>
    <mergeCell ref="B352:B354"/>
    <mergeCell ref="B370:B372"/>
    <mergeCell ref="B374:B375"/>
    <mergeCell ref="B376:B381"/>
    <mergeCell ref="B382:B387"/>
    <mergeCell ref="B388:B392"/>
    <mergeCell ref="B355:B356"/>
    <mergeCell ref="B357:B359"/>
    <mergeCell ref="B402:B405"/>
  </mergeCells>
  <pageMargins left="0.7" right="0.7" top="0.75" bottom="0.75" header="0.3" footer="0.3"/>
  <pageSetup scale="21" orientation="portrait" r:id="rId1"/>
  <rowBreaks count="5" manualBreakCount="5">
    <brk id="111" max="16383" man="1"/>
    <brk id="165" min="1" max="11" man="1"/>
    <brk id="224" min="1" max="11" man="1"/>
    <brk id="295" min="1" max="11" man="1"/>
    <brk id="387" min="1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03"/>
  <sheetViews>
    <sheetView tabSelected="1" view="pageBreakPreview" zoomScale="85" zoomScaleNormal="100" zoomScaleSheetLayoutView="85" workbookViewId="0">
      <pane xSplit="2" ySplit="4" topLeftCell="M5" activePane="bottomRight" state="frozen"/>
      <selection pane="topRight" activeCell="B1" sqref="B1"/>
      <selection pane="bottomLeft" activeCell="A4" sqref="A4"/>
      <selection pane="bottomRight" activeCell="Q8" sqref="Q8:Q10"/>
    </sheetView>
  </sheetViews>
  <sheetFormatPr defaultRowHeight="12.75" x14ac:dyDescent="0.25"/>
  <cols>
    <col min="1" max="1" width="2.42578125" style="18" customWidth="1"/>
    <col min="2" max="2" width="11" style="17" customWidth="1"/>
    <col min="3" max="3" width="2.28515625" style="17" customWidth="1"/>
    <col min="4" max="5" width="14.7109375" style="17" customWidth="1"/>
    <col min="6" max="14" width="15.85546875" style="18" customWidth="1"/>
    <col min="15" max="15" width="1.140625" style="18" customWidth="1"/>
    <col min="16" max="17" width="14.7109375" style="17" customWidth="1"/>
    <col min="18" max="26" width="15.85546875" style="18" customWidth="1"/>
    <col min="27" max="16384" width="9.140625" style="18"/>
  </cols>
  <sheetData>
    <row r="1" spans="2:26" ht="13.5" thickBot="1" x14ac:dyDescent="0.3"/>
    <row r="2" spans="2:26" s="19" customFormat="1" ht="21" customHeight="1" x14ac:dyDescent="0.25">
      <c r="B2" s="86" t="s">
        <v>263</v>
      </c>
      <c r="C2" s="17"/>
      <c r="D2" s="83" t="s">
        <v>266</v>
      </c>
      <c r="E2" s="84"/>
      <c r="F2" s="84"/>
      <c r="G2" s="84"/>
      <c r="H2" s="84"/>
      <c r="I2" s="84"/>
      <c r="J2" s="84"/>
      <c r="K2" s="84"/>
      <c r="L2" s="84"/>
      <c r="M2" s="84"/>
      <c r="N2" s="85"/>
      <c r="P2" s="83" t="s">
        <v>253</v>
      </c>
      <c r="Q2" s="84"/>
      <c r="R2" s="84"/>
      <c r="S2" s="84"/>
      <c r="T2" s="84"/>
      <c r="U2" s="84"/>
      <c r="V2" s="84"/>
      <c r="W2" s="84"/>
      <c r="X2" s="84"/>
      <c r="Y2" s="84"/>
      <c r="Z2" s="85"/>
    </row>
    <row r="3" spans="2:26" s="19" customFormat="1" ht="18" customHeight="1" x14ac:dyDescent="0.25">
      <c r="B3" s="87"/>
      <c r="C3" s="17"/>
      <c r="D3" s="88" t="s">
        <v>267</v>
      </c>
      <c r="E3" s="81"/>
      <c r="F3" s="81" t="s">
        <v>260</v>
      </c>
      <c r="G3" s="81"/>
      <c r="H3" s="81"/>
      <c r="I3" s="81"/>
      <c r="J3" s="81"/>
      <c r="K3" s="81" t="s">
        <v>261</v>
      </c>
      <c r="L3" s="81"/>
      <c r="M3" s="81"/>
      <c r="N3" s="82"/>
      <c r="P3" s="88" t="s">
        <v>267</v>
      </c>
      <c r="Q3" s="81"/>
      <c r="R3" s="81" t="s">
        <v>260</v>
      </c>
      <c r="S3" s="81"/>
      <c r="T3" s="81"/>
      <c r="U3" s="81"/>
      <c r="V3" s="81"/>
      <c r="W3" s="81" t="s">
        <v>261</v>
      </c>
      <c r="X3" s="81"/>
      <c r="Y3" s="81"/>
      <c r="Z3" s="82"/>
    </row>
    <row r="4" spans="2:26" s="20" customFormat="1" ht="50.25" customHeight="1" x14ac:dyDescent="0.25">
      <c r="B4" s="87"/>
      <c r="C4" s="17"/>
      <c r="D4" s="15" t="s">
        <v>268</v>
      </c>
      <c r="E4" s="14" t="s">
        <v>269</v>
      </c>
      <c r="F4" s="14" t="s">
        <v>340</v>
      </c>
      <c r="G4" s="14" t="s">
        <v>255</v>
      </c>
      <c r="H4" s="14" t="s">
        <v>256</v>
      </c>
      <c r="I4" s="14" t="s">
        <v>257</v>
      </c>
      <c r="J4" s="14" t="s">
        <v>258</v>
      </c>
      <c r="K4" s="14" t="s">
        <v>259</v>
      </c>
      <c r="L4" s="14" t="s">
        <v>264</v>
      </c>
      <c r="M4" s="14" t="s">
        <v>265</v>
      </c>
      <c r="N4" s="16" t="s">
        <v>262</v>
      </c>
      <c r="P4" s="15" t="s">
        <v>268</v>
      </c>
      <c r="Q4" s="14" t="s">
        <v>269</v>
      </c>
      <c r="R4" s="14" t="s">
        <v>254</v>
      </c>
      <c r="S4" s="14" t="s">
        <v>255</v>
      </c>
      <c r="T4" s="14" t="s">
        <v>256</v>
      </c>
      <c r="U4" s="14" t="s">
        <v>257</v>
      </c>
      <c r="V4" s="14" t="s">
        <v>258</v>
      </c>
      <c r="W4" s="14" t="s">
        <v>259</v>
      </c>
      <c r="X4" s="14" t="s">
        <v>264</v>
      </c>
      <c r="Y4" s="14" t="s">
        <v>265</v>
      </c>
      <c r="Z4" s="16" t="s">
        <v>262</v>
      </c>
    </row>
    <row r="5" spans="2:26" ht="18" customHeight="1" x14ac:dyDescent="0.25">
      <c r="B5" s="21">
        <v>101</v>
      </c>
      <c r="D5" s="79"/>
      <c r="E5" s="62"/>
      <c r="F5" s="57"/>
      <c r="G5" s="57"/>
      <c r="H5" s="79"/>
      <c r="I5" s="79"/>
      <c r="J5" s="57"/>
      <c r="K5" s="57"/>
      <c r="L5" s="57"/>
      <c r="M5" s="57"/>
      <c r="N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2:26" ht="18" customHeight="1" x14ac:dyDescent="0.25">
      <c r="B6" s="21">
        <f>B5+1</f>
        <v>102</v>
      </c>
      <c r="D6" s="69"/>
      <c r="E6" s="63"/>
      <c r="F6" s="58"/>
      <c r="G6" s="58"/>
      <c r="H6" s="69"/>
      <c r="I6" s="69"/>
      <c r="J6" s="58"/>
      <c r="K6" s="58"/>
      <c r="L6" s="58"/>
      <c r="M6" s="58"/>
      <c r="N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2:26" ht="18" customHeight="1" x14ac:dyDescent="0.25">
      <c r="B7" s="21">
        <f>B6+1</f>
        <v>103</v>
      </c>
      <c r="D7" s="80"/>
      <c r="E7" s="64"/>
      <c r="F7" s="58"/>
      <c r="G7" s="58"/>
      <c r="H7" s="70"/>
      <c r="I7" s="80"/>
      <c r="J7" s="58"/>
      <c r="K7" s="58"/>
      <c r="L7" s="58"/>
      <c r="M7" s="58"/>
      <c r="N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2:26" ht="18" customHeight="1" x14ac:dyDescent="0.25">
      <c r="B8" s="21">
        <f>B7+98</f>
        <v>201</v>
      </c>
      <c r="D8" s="76" t="s">
        <v>343</v>
      </c>
      <c r="E8" s="71" t="s">
        <v>344</v>
      </c>
      <c r="F8" s="57"/>
      <c r="G8" s="57"/>
      <c r="H8" s="68"/>
      <c r="I8" s="79"/>
      <c r="J8" s="57"/>
      <c r="K8" s="57"/>
      <c r="L8" s="57"/>
      <c r="M8" s="57"/>
      <c r="N8" s="57"/>
      <c r="P8" s="98" t="s">
        <v>352</v>
      </c>
      <c r="Q8" s="96"/>
      <c r="R8" s="57"/>
      <c r="S8" s="57"/>
      <c r="T8" s="57"/>
      <c r="U8" s="57"/>
      <c r="V8" s="57"/>
      <c r="W8" s="57"/>
      <c r="X8" s="57"/>
      <c r="Y8" s="57"/>
      <c r="Z8" s="57"/>
    </row>
    <row r="9" spans="2:26" ht="18" customHeight="1" x14ac:dyDescent="0.25">
      <c r="B9" s="21">
        <f>B8+1</f>
        <v>202</v>
      </c>
      <c r="D9" s="77"/>
      <c r="E9" s="72"/>
      <c r="F9" s="58"/>
      <c r="G9" s="58"/>
      <c r="H9" s="69"/>
      <c r="I9" s="69"/>
      <c r="J9" s="58"/>
      <c r="K9" s="58"/>
      <c r="L9" s="58"/>
      <c r="M9" s="58"/>
      <c r="N9" s="58"/>
      <c r="P9" s="99"/>
      <c r="Q9" s="97"/>
      <c r="R9" s="58"/>
      <c r="S9" s="58"/>
      <c r="T9" s="58"/>
      <c r="U9" s="58"/>
      <c r="V9" s="58"/>
      <c r="W9" s="58"/>
      <c r="X9" s="58"/>
      <c r="Y9" s="58"/>
      <c r="Z9" s="58"/>
    </row>
    <row r="10" spans="2:26" ht="18" customHeight="1" x14ac:dyDescent="0.25">
      <c r="B10" s="21">
        <f>B9+1</f>
        <v>203</v>
      </c>
      <c r="D10" s="78"/>
      <c r="E10" s="73"/>
      <c r="F10" s="58"/>
      <c r="G10" s="58"/>
      <c r="H10" s="70"/>
      <c r="I10" s="70"/>
      <c r="J10" s="58"/>
      <c r="K10" s="58"/>
      <c r="L10" s="58"/>
      <c r="M10" s="58"/>
      <c r="N10" s="58"/>
      <c r="P10" s="99"/>
      <c r="Q10" s="97"/>
      <c r="R10" s="58"/>
      <c r="S10" s="58"/>
      <c r="T10" s="58"/>
      <c r="U10" s="58"/>
      <c r="V10" s="58"/>
      <c r="W10" s="58"/>
      <c r="X10" s="58"/>
      <c r="Y10" s="58"/>
      <c r="Z10" s="58"/>
    </row>
    <row r="11" spans="2:26" ht="18" customHeight="1" x14ac:dyDescent="0.25">
      <c r="B11" s="21">
        <f t="shared" ref="B11" si="0">B10+98</f>
        <v>301</v>
      </c>
      <c r="D11" s="76" t="s">
        <v>343</v>
      </c>
      <c r="E11" s="65" t="s">
        <v>345</v>
      </c>
      <c r="F11" s="57"/>
      <c r="G11" s="57"/>
      <c r="H11" s="68"/>
      <c r="I11" s="68"/>
      <c r="J11" s="57"/>
      <c r="K11" s="57"/>
      <c r="L11" s="57"/>
      <c r="M11" s="57"/>
      <c r="N11" s="57"/>
      <c r="P11" s="100">
        <v>45941</v>
      </c>
      <c r="Q11" s="96"/>
      <c r="R11" s="57"/>
      <c r="S11" s="57"/>
      <c r="T11" s="57"/>
      <c r="U11" s="57"/>
      <c r="V11" s="57"/>
      <c r="W11" s="57"/>
      <c r="X11" s="57"/>
      <c r="Y11" s="57"/>
      <c r="Z11" s="57"/>
    </row>
    <row r="12" spans="2:26" ht="18" customHeight="1" x14ac:dyDescent="0.25">
      <c r="B12" s="21">
        <f t="shared" ref="B12:B13" si="1">B11+1</f>
        <v>302</v>
      </c>
      <c r="D12" s="77"/>
      <c r="E12" s="66"/>
      <c r="F12" s="58"/>
      <c r="G12" s="58"/>
      <c r="H12" s="69"/>
      <c r="I12" s="69"/>
      <c r="J12" s="58"/>
      <c r="K12" s="58"/>
      <c r="L12" s="58"/>
      <c r="M12" s="58"/>
      <c r="N12" s="58"/>
      <c r="P12" s="101"/>
      <c r="Q12" s="97"/>
      <c r="R12" s="58"/>
      <c r="S12" s="58"/>
      <c r="T12" s="58"/>
      <c r="U12" s="58"/>
      <c r="V12" s="58"/>
      <c r="W12" s="58"/>
      <c r="X12" s="58"/>
      <c r="Y12" s="58"/>
      <c r="Z12" s="58"/>
    </row>
    <row r="13" spans="2:26" ht="18" customHeight="1" x14ac:dyDescent="0.25">
      <c r="B13" s="21">
        <f t="shared" si="1"/>
        <v>303</v>
      </c>
      <c r="D13" s="78"/>
      <c r="E13" s="67"/>
      <c r="F13" s="58"/>
      <c r="G13" s="58"/>
      <c r="H13" s="70"/>
      <c r="I13" s="70"/>
      <c r="J13" s="58"/>
      <c r="K13" s="58"/>
      <c r="L13" s="58"/>
      <c r="M13" s="58"/>
      <c r="N13" s="58"/>
      <c r="P13" s="101"/>
      <c r="Q13" s="97"/>
      <c r="R13" s="58"/>
      <c r="S13" s="58"/>
      <c r="T13" s="58"/>
      <c r="U13" s="58"/>
      <c r="V13" s="58"/>
      <c r="W13" s="58"/>
      <c r="X13" s="58"/>
      <c r="Y13" s="58"/>
      <c r="Z13" s="58"/>
    </row>
    <row r="14" spans="2:26" ht="18" customHeight="1" x14ac:dyDescent="0.25">
      <c r="B14" s="21">
        <f t="shared" ref="B14:B77" si="2">B13+98</f>
        <v>401</v>
      </c>
      <c r="D14" s="76" t="s">
        <v>343</v>
      </c>
      <c r="E14" s="74">
        <v>45718</v>
      </c>
      <c r="F14" s="57"/>
      <c r="G14" s="57"/>
      <c r="H14" s="68"/>
      <c r="I14" s="68"/>
      <c r="J14" s="57"/>
      <c r="K14" s="57"/>
      <c r="L14" s="57"/>
      <c r="M14" s="57"/>
      <c r="N14" s="57"/>
      <c r="P14" s="100">
        <v>46002</v>
      </c>
      <c r="Q14" s="96"/>
      <c r="R14" s="57"/>
      <c r="S14" s="57"/>
      <c r="T14" s="57"/>
      <c r="U14" s="57"/>
      <c r="V14" s="57"/>
      <c r="W14" s="57"/>
      <c r="X14" s="57"/>
      <c r="Y14" s="57"/>
      <c r="Z14" s="57"/>
    </row>
    <row r="15" spans="2:26" ht="18" customHeight="1" x14ac:dyDescent="0.25">
      <c r="B15" s="21">
        <f t="shared" ref="B15:B78" si="3">B14+1</f>
        <v>402</v>
      </c>
      <c r="D15" s="77"/>
      <c r="E15" s="63"/>
      <c r="F15" s="58"/>
      <c r="G15" s="58"/>
      <c r="H15" s="69"/>
      <c r="I15" s="69"/>
      <c r="J15" s="58"/>
      <c r="K15" s="58"/>
      <c r="L15" s="58"/>
      <c r="M15" s="58"/>
      <c r="N15" s="58"/>
      <c r="P15" s="101"/>
      <c r="Q15" s="97"/>
      <c r="R15" s="58"/>
      <c r="S15" s="58"/>
      <c r="T15" s="58"/>
      <c r="U15" s="58"/>
      <c r="V15" s="58"/>
      <c r="W15" s="58"/>
      <c r="X15" s="58"/>
      <c r="Y15" s="58"/>
      <c r="Z15" s="58"/>
    </row>
    <row r="16" spans="2:26" ht="18" customHeight="1" x14ac:dyDescent="0.25">
      <c r="B16" s="21">
        <f t="shared" si="3"/>
        <v>403</v>
      </c>
      <c r="D16" s="78"/>
      <c r="E16" s="64"/>
      <c r="F16" s="58"/>
      <c r="G16" s="58"/>
      <c r="H16" s="70"/>
      <c r="I16" s="70"/>
      <c r="J16" s="58"/>
      <c r="K16" s="58"/>
      <c r="L16" s="58"/>
      <c r="M16" s="58"/>
      <c r="N16" s="58"/>
      <c r="P16" s="101"/>
      <c r="Q16" s="97"/>
      <c r="R16" s="58"/>
      <c r="S16" s="58"/>
      <c r="T16" s="58"/>
      <c r="U16" s="58"/>
      <c r="V16" s="58"/>
      <c r="W16" s="58"/>
      <c r="X16" s="58"/>
      <c r="Y16" s="58"/>
      <c r="Z16" s="58"/>
    </row>
    <row r="17" spans="2:26" ht="18" customHeight="1" x14ac:dyDescent="0.25">
      <c r="B17" s="21">
        <f t="shared" si="2"/>
        <v>501</v>
      </c>
      <c r="D17" s="76" t="s">
        <v>343</v>
      </c>
      <c r="E17" s="65" t="s">
        <v>346</v>
      </c>
      <c r="F17" s="57"/>
      <c r="G17" s="57"/>
      <c r="H17" s="68"/>
      <c r="I17" s="68"/>
      <c r="J17" s="57"/>
      <c r="K17" s="57"/>
      <c r="L17" s="57"/>
      <c r="M17" s="57"/>
      <c r="N17" s="57"/>
      <c r="P17" s="98" t="s">
        <v>353</v>
      </c>
      <c r="Q17" s="96"/>
      <c r="R17" s="57"/>
      <c r="S17" s="57"/>
      <c r="T17" s="57"/>
      <c r="U17" s="57"/>
      <c r="V17" s="57"/>
      <c r="W17" s="57"/>
      <c r="X17" s="57"/>
      <c r="Y17" s="57"/>
      <c r="Z17" s="57"/>
    </row>
    <row r="18" spans="2:26" ht="18" customHeight="1" x14ac:dyDescent="0.25">
      <c r="B18" s="21">
        <f t="shared" si="3"/>
        <v>502</v>
      </c>
      <c r="D18" s="77"/>
      <c r="E18" s="66"/>
      <c r="F18" s="58"/>
      <c r="G18" s="58"/>
      <c r="H18" s="69"/>
      <c r="I18" s="69"/>
      <c r="J18" s="58"/>
      <c r="K18" s="58"/>
      <c r="L18" s="58"/>
      <c r="M18" s="58"/>
      <c r="N18" s="58"/>
      <c r="P18" s="101"/>
      <c r="Q18" s="97"/>
      <c r="R18" s="58"/>
      <c r="S18" s="58"/>
      <c r="T18" s="58"/>
      <c r="U18" s="58"/>
      <c r="V18" s="58"/>
      <c r="W18" s="58"/>
      <c r="X18" s="58"/>
      <c r="Y18" s="58"/>
      <c r="Z18" s="58"/>
    </row>
    <row r="19" spans="2:26" ht="18" customHeight="1" x14ac:dyDescent="0.25">
      <c r="B19" s="21">
        <f t="shared" si="3"/>
        <v>503</v>
      </c>
      <c r="D19" s="78"/>
      <c r="E19" s="67"/>
      <c r="F19" s="58"/>
      <c r="G19" s="58"/>
      <c r="H19" s="70"/>
      <c r="I19" s="70"/>
      <c r="J19" s="58"/>
      <c r="K19" s="58"/>
      <c r="L19" s="58"/>
      <c r="M19" s="58"/>
      <c r="N19" s="58"/>
      <c r="P19" s="101"/>
      <c r="Q19" s="97"/>
      <c r="R19" s="58"/>
      <c r="S19" s="58"/>
      <c r="T19" s="58"/>
      <c r="U19" s="58"/>
      <c r="V19" s="58"/>
      <c r="W19" s="58"/>
      <c r="X19" s="58"/>
      <c r="Y19" s="58"/>
      <c r="Z19" s="58"/>
    </row>
    <row r="20" spans="2:26" ht="18" customHeight="1" x14ac:dyDescent="0.25">
      <c r="B20" s="21">
        <f t="shared" si="2"/>
        <v>601</v>
      </c>
      <c r="D20" s="76" t="s">
        <v>343</v>
      </c>
      <c r="E20" s="65" t="s">
        <v>347</v>
      </c>
      <c r="F20" s="57"/>
      <c r="G20" s="57"/>
      <c r="H20" s="68"/>
      <c r="I20" s="68"/>
      <c r="J20" s="57"/>
      <c r="K20" s="57"/>
      <c r="L20" s="57"/>
      <c r="M20" s="57"/>
      <c r="N20" s="57"/>
      <c r="P20" s="98" t="s">
        <v>354</v>
      </c>
      <c r="Q20" s="96"/>
      <c r="R20" s="57"/>
      <c r="S20" s="57"/>
      <c r="T20" s="57"/>
      <c r="U20" s="57"/>
      <c r="V20" s="57"/>
      <c r="W20" s="57"/>
      <c r="X20" s="57"/>
      <c r="Y20" s="57"/>
      <c r="Z20" s="57"/>
    </row>
    <row r="21" spans="2:26" ht="18" customHeight="1" x14ac:dyDescent="0.25">
      <c r="B21" s="21">
        <f t="shared" si="3"/>
        <v>602</v>
      </c>
      <c r="D21" s="77"/>
      <c r="E21" s="66"/>
      <c r="F21" s="58"/>
      <c r="G21" s="58"/>
      <c r="H21" s="69"/>
      <c r="I21" s="69"/>
      <c r="J21" s="58"/>
      <c r="K21" s="58"/>
      <c r="L21" s="58"/>
      <c r="M21" s="58"/>
      <c r="N21" s="58"/>
      <c r="P21" s="101"/>
      <c r="Q21" s="97"/>
      <c r="R21" s="58"/>
      <c r="S21" s="58"/>
      <c r="T21" s="58"/>
      <c r="U21" s="58"/>
      <c r="V21" s="58"/>
      <c r="W21" s="58"/>
      <c r="X21" s="58"/>
      <c r="Y21" s="58"/>
      <c r="Z21" s="58"/>
    </row>
    <row r="22" spans="2:26" ht="18" customHeight="1" x14ac:dyDescent="0.25">
      <c r="B22" s="21">
        <f t="shared" si="3"/>
        <v>603</v>
      </c>
      <c r="D22" s="78"/>
      <c r="E22" s="67"/>
      <c r="F22" s="58"/>
      <c r="G22" s="58"/>
      <c r="H22" s="70"/>
      <c r="I22" s="70"/>
      <c r="J22" s="58"/>
      <c r="K22" s="58"/>
      <c r="L22" s="58"/>
      <c r="M22" s="58"/>
      <c r="N22" s="58"/>
      <c r="P22" s="101"/>
      <c r="Q22" s="97"/>
      <c r="R22" s="58"/>
      <c r="S22" s="58"/>
      <c r="T22" s="58"/>
      <c r="U22" s="58"/>
      <c r="V22" s="58"/>
      <c r="W22" s="58"/>
      <c r="X22" s="58"/>
      <c r="Y22" s="58"/>
      <c r="Z22" s="58"/>
    </row>
    <row r="23" spans="2:26" ht="18" customHeight="1" x14ac:dyDescent="0.25">
      <c r="B23" s="21">
        <f t="shared" si="2"/>
        <v>701</v>
      </c>
      <c r="D23" s="76" t="s">
        <v>343</v>
      </c>
      <c r="E23" s="65" t="s">
        <v>348</v>
      </c>
      <c r="F23" s="57"/>
      <c r="G23" s="57"/>
      <c r="H23" s="68"/>
      <c r="I23" s="68"/>
      <c r="J23" s="57"/>
      <c r="K23" s="57"/>
      <c r="L23" s="57"/>
      <c r="M23" s="57"/>
      <c r="N23" s="57"/>
      <c r="P23" s="100">
        <v>46003</v>
      </c>
      <c r="Q23" s="96"/>
      <c r="R23" s="57"/>
      <c r="S23" s="57"/>
      <c r="T23" s="57"/>
      <c r="U23" s="57"/>
      <c r="V23" s="57"/>
      <c r="W23" s="57"/>
      <c r="X23" s="57"/>
      <c r="Y23" s="57"/>
      <c r="Z23" s="57"/>
    </row>
    <row r="24" spans="2:26" ht="18" customHeight="1" x14ac:dyDescent="0.25">
      <c r="B24" s="21">
        <f t="shared" si="3"/>
        <v>702</v>
      </c>
      <c r="D24" s="77"/>
      <c r="E24" s="66"/>
      <c r="F24" s="58"/>
      <c r="G24" s="58"/>
      <c r="H24" s="69"/>
      <c r="I24" s="69"/>
      <c r="J24" s="58"/>
      <c r="K24" s="58"/>
      <c r="L24" s="58"/>
      <c r="M24" s="58"/>
      <c r="N24" s="58"/>
      <c r="P24" s="101"/>
      <c r="Q24" s="97"/>
      <c r="R24" s="58"/>
      <c r="S24" s="58"/>
      <c r="T24" s="58"/>
      <c r="U24" s="58"/>
      <c r="V24" s="58"/>
      <c r="W24" s="58"/>
      <c r="X24" s="58"/>
      <c r="Y24" s="58"/>
      <c r="Z24" s="58"/>
    </row>
    <row r="25" spans="2:26" ht="18" customHeight="1" x14ac:dyDescent="0.25">
      <c r="B25" s="21">
        <f t="shared" si="3"/>
        <v>703</v>
      </c>
      <c r="D25" s="78"/>
      <c r="E25" s="67"/>
      <c r="F25" s="58"/>
      <c r="G25" s="58"/>
      <c r="H25" s="70"/>
      <c r="I25" s="70"/>
      <c r="J25" s="58"/>
      <c r="K25" s="58"/>
      <c r="L25" s="58"/>
      <c r="M25" s="58"/>
      <c r="N25" s="58"/>
      <c r="P25" s="101"/>
      <c r="Q25" s="97"/>
      <c r="R25" s="58"/>
      <c r="S25" s="58"/>
      <c r="T25" s="58"/>
      <c r="U25" s="58"/>
      <c r="V25" s="58"/>
      <c r="W25" s="58"/>
      <c r="X25" s="58"/>
      <c r="Y25" s="58"/>
      <c r="Z25" s="58"/>
    </row>
    <row r="26" spans="2:26" ht="18" customHeight="1" x14ac:dyDescent="0.25">
      <c r="B26" s="21">
        <f t="shared" si="2"/>
        <v>801</v>
      </c>
      <c r="D26" s="76" t="s">
        <v>343</v>
      </c>
      <c r="E26" s="65" t="s">
        <v>349</v>
      </c>
      <c r="F26" s="57"/>
      <c r="G26" s="57"/>
      <c r="H26" s="68"/>
      <c r="I26" s="68"/>
      <c r="J26" s="57"/>
      <c r="K26" s="57"/>
      <c r="L26" s="57"/>
      <c r="M26" s="57"/>
      <c r="N26" s="57"/>
      <c r="P26" s="98" t="s">
        <v>355</v>
      </c>
      <c r="Q26" s="96"/>
      <c r="R26" s="57"/>
      <c r="S26" s="57"/>
      <c r="T26" s="57"/>
      <c r="U26" s="57"/>
      <c r="V26" s="57"/>
      <c r="W26" s="57"/>
      <c r="X26" s="57"/>
      <c r="Y26" s="57"/>
      <c r="Z26" s="57"/>
    </row>
    <row r="27" spans="2:26" ht="18" customHeight="1" x14ac:dyDescent="0.25">
      <c r="B27" s="21">
        <f t="shared" si="3"/>
        <v>802</v>
      </c>
      <c r="D27" s="77"/>
      <c r="E27" s="66"/>
      <c r="F27" s="58"/>
      <c r="G27" s="58"/>
      <c r="H27" s="69"/>
      <c r="I27" s="69"/>
      <c r="J27" s="58"/>
      <c r="K27" s="58"/>
      <c r="L27" s="58"/>
      <c r="M27" s="58"/>
      <c r="N27" s="58"/>
      <c r="P27" s="101"/>
      <c r="Q27" s="97"/>
      <c r="R27" s="58"/>
      <c r="S27" s="58"/>
      <c r="T27" s="58"/>
      <c r="U27" s="58"/>
      <c r="V27" s="58"/>
      <c r="W27" s="58"/>
      <c r="X27" s="58"/>
      <c r="Y27" s="58"/>
      <c r="Z27" s="58"/>
    </row>
    <row r="28" spans="2:26" ht="18" customHeight="1" x14ac:dyDescent="0.25">
      <c r="B28" s="21">
        <f t="shared" si="3"/>
        <v>803</v>
      </c>
      <c r="D28" s="78"/>
      <c r="E28" s="67"/>
      <c r="F28" s="58"/>
      <c r="G28" s="58"/>
      <c r="H28" s="70"/>
      <c r="I28" s="70"/>
      <c r="J28" s="58"/>
      <c r="K28" s="58"/>
      <c r="L28" s="58"/>
      <c r="M28" s="58"/>
      <c r="N28" s="58"/>
      <c r="P28" s="101"/>
      <c r="Q28" s="97"/>
      <c r="R28" s="58"/>
      <c r="S28" s="58"/>
      <c r="T28" s="58"/>
      <c r="U28" s="58"/>
      <c r="V28" s="58"/>
      <c r="W28" s="58"/>
      <c r="X28" s="58"/>
      <c r="Y28" s="58"/>
      <c r="Z28" s="58"/>
    </row>
    <row r="29" spans="2:26" ht="18" customHeight="1" x14ac:dyDescent="0.25">
      <c r="B29" s="21">
        <f t="shared" si="2"/>
        <v>901</v>
      </c>
      <c r="D29" s="76" t="s">
        <v>343</v>
      </c>
      <c r="E29" s="65" t="s">
        <v>350</v>
      </c>
      <c r="F29" s="57"/>
      <c r="G29" s="57"/>
      <c r="H29" s="68"/>
      <c r="I29" s="68"/>
      <c r="J29" s="57"/>
      <c r="K29" s="57"/>
      <c r="L29" s="57"/>
      <c r="M29" s="57"/>
      <c r="N29" s="57"/>
      <c r="P29" s="98" t="s">
        <v>356</v>
      </c>
      <c r="Q29" s="96"/>
      <c r="R29" s="57"/>
      <c r="S29" s="57"/>
      <c r="T29" s="57"/>
      <c r="U29" s="57"/>
      <c r="V29" s="57"/>
      <c r="W29" s="57"/>
      <c r="X29" s="57"/>
      <c r="Y29" s="57"/>
      <c r="Z29" s="57"/>
    </row>
    <row r="30" spans="2:26" ht="18" customHeight="1" x14ac:dyDescent="0.25">
      <c r="B30" s="21">
        <f t="shared" si="3"/>
        <v>902</v>
      </c>
      <c r="D30" s="77"/>
      <c r="E30" s="66"/>
      <c r="F30" s="58"/>
      <c r="G30" s="58"/>
      <c r="H30" s="69"/>
      <c r="I30" s="69"/>
      <c r="J30" s="58"/>
      <c r="K30" s="58"/>
      <c r="L30" s="58"/>
      <c r="M30" s="58"/>
      <c r="N30" s="58"/>
      <c r="P30" s="101"/>
      <c r="Q30" s="97"/>
      <c r="R30" s="58"/>
      <c r="S30" s="58"/>
      <c r="T30" s="58"/>
      <c r="U30" s="58"/>
      <c r="V30" s="58"/>
      <c r="W30" s="58"/>
      <c r="X30" s="58"/>
      <c r="Y30" s="58"/>
      <c r="Z30" s="58"/>
    </row>
    <row r="31" spans="2:26" ht="18" customHeight="1" x14ac:dyDescent="0.25">
      <c r="B31" s="21">
        <f t="shared" si="3"/>
        <v>903</v>
      </c>
      <c r="D31" s="78"/>
      <c r="E31" s="67"/>
      <c r="F31" s="58"/>
      <c r="G31" s="58"/>
      <c r="H31" s="70"/>
      <c r="I31" s="70"/>
      <c r="J31" s="58"/>
      <c r="K31" s="58"/>
      <c r="L31" s="58"/>
      <c r="M31" s="58"/>
      <c r="N31" s="58"/>
      <c r="P31" s="101"/>
      <c r="Q31" s="97"/>
      <c r="R31" s="58"/>
      <c r="S31" s="58"/>
      <c r="T31" s="58"/>
      <c r="U31" s="58"/>
      <c r="V31" s="58"/>
      <c r="W31" s="58"/>
      <c r="X31" s="58"/>
      <c r="Y31" s="58"/>
      <c r="Z31" s="58"/>
    </row>
    <row r="32" spans="2:26" ht="18" customHeight="1" x14ac:dyDescent="0.25">
      <c r="B32" s="21">
        <f t="shared" si="2"/>
        <v>1001</v>
      </c>
      <c r="D32" s="76" t="s">
        <v>343</v>
      </c>
      <c r="E32" s="75">
        <v>45812</v>
      </c>
      <c r="F32" s="57"/>
      <c r="G32" s="57"/>
      <c r="H32" s="68"/>
      <c r="I32" s="68"/>
      <c r="J32" s="57"/>
      <c r="K32" s="57"/>
      <c r="L32" s="57"/>
      <c r="M32" s="57"/>
      <c r="N32" s="57"/>
      <c r="P32" s="98" t="s">
        <v>356</v>
      </c>
      <c r="Q32" s="96"/>
      <c r="R32" s="57"/>
      <c r="S32" s="57"/>
      <c r="T32" s="57"/>
      <c r="U32" s="57"/>
      <c r="V32" s="57"/>
      <c r="W32" s="57"/>
      <c r="X32" s="57"/>
      <c r="Y32" s="57"/>
      <c r="Z32" s="57"/>
    </row>
    <row r="33" spans="2:26" ht="18" customHeight="1" x14ac:dyDescent="0.25">
      <c r="B33" s="21">
        <f t="shared" si="3"/>
        <v>1002</v>
      </c>
      <c r="D33" s="77"/>
      <c r="E33" s="66"/>
      <c r="F33" s="58"/>
      <c r="G33" s="58"/>
      <c r="H33" s="69"/>
      <c r="I33" s="69"/>
      <c r="J33" s="58"/>
      <c r="K33" s="58"/>
      <c r="L33" s="58"/>
      <c r="M33" s="58"/>
      <c r="N33" s="58"/>
      <c r="P33" s="101"/>
      <c r="Q33" s="97"/>
      <c r="R33" s="58"/>
      <c r="S33" s="58"/>
      <c r="T33" s="58"/>
      <c r="U33" s="58"/>
      <c r="V33" s="58"/>
      <c r="W33" s="58"/>
      <c r="X33" s="58"/>
      <c r="Y33" s="58"/>
      <c r="Z33" s="58"/>
    </row>
    <row r="34" spans="2:26" ht="18" customHeight="1" x14ac:dyDescent="0.25">
      <c r="B34" s="21">
        <f t="shared" si="3"/>
        <v>1003</v>
      </c>
      <c r="D34" s="78"/>
      <c r="E34" s="67"/>
      <c r="F34" s="58"/>
      <c r="G34" s="58"/>
      <c r="H34" s="70"/>
      <c r="I34" s="70"/>
      <c r="J34" s="58"/>
      <c r="K34" s="58"/>
      <c r="L34" s="58"/>
      <c r="M34" s="58"/>
      <c r="N34" s="58"/>
      <c r="P34" s="101"/>
      <c r="Q34" s="97"/>
      <c r="R34" s="58"/>
      <c r="S34" s="58"/>
      <c r="T34" s="58"/>
      <c r="U34" s="58"/>
      <c r="V34" s="58"/>
      <c r="W34" s="58"/>
      <c r="X34" s="58"/>
      <c r="Y34" s="58"/>
      <c r="Z34" s="58"/>
    </row>
    <row r="35" spans="2:26" ht="18" customHeight="1" x14ac:dyDescent="0.25">
      <c r="B35" s="21">
        <f t="shared" si="2"/>
        <v>1101</v>
      </c>
      <c r="D35" s="76" t="s">
        <v>343</v>
      </c>
      <c r="E35" s="65" t="s">
        <v>351</v>
      </c>
      <c r="F35" s="57"/>
      <c r="G35" s="57"/>
      <c r="H35" s="68"/>
      <c r="I35" s="68"/>
      <c r="J35" s="57"/>
      <c r="K35" s="57"/>
      <c r="L35" s="57"/>
      <c r="M35" s="57"/>
      <c r="N35" s="57"/>
      <c r="P35" s="100" t="s">
        <v>357</v>
      </c>
      <c r="Q35" s="96"/>
      <c r="R35" s="57"/>
      <c r="S35" s="57"/>
      <c r="T35" s="57"/>
      <c r="U35" s="57"/>
      <c r="V35" s="57"/>
      <c r="W35" s="57"/>
      <c r="X35" s="57"/>
      <c r="Y35" s="57"/>
      <c r="Z35" s="57"/>
    </row>
    <row r="36" spans="2:26" ht="18" customHeight="1" x14ac:dyDescent="0.25">
      <c r="B36" s="21">
        <f t="shared" si="3"/>
        <v>1102</v>
      </c>
      <c r="D36" s="77"/>
      <c r="E36" s="66"/>
      <c r="F36" s="58"/>
      <c r="G36" s="58"/>
      <c r="H36" s="69"/>
      <c r="I36" s="69"/>
      <c r="J36" s="58"/>
      <c r="K36" s="58"/>
      <c r="L36" s="58"/>
      <c r="M36" s="58"/>
      <c r="N36" s="58"/>
      <c r="P36" s="101"/>
      <c r="Q36" s="97"/>
      <c r="R36" s="58"/>
      <c r="S36" s="58"/>
      <c r="T36" s="58"/>
      <c r="U36" s="58"/>
      <c r="V36" s="58"/>
      <c r="W36" s="58"/>
      <c r="X36" s="58"/>
      <c r="Y36" s="58"/>
      <c r="Z36" s="58"/>
    </row>
    <row r="37" spans="2:26" ht="18" customHeight="1" x14ac:dyDescent="0.25">
      <c r="B37" s="21">
        <f t="shared" si="3"/>
        <v>1103</v>
      </c>
      <c r="D37" s="78"/>
      <c r="E37" s="67"/>
      <c r="F37" s="58"/>
      <c r="G37" s="58"/>
      <c r="H37" s="70"/>
      <c r="I37" s="70"/>
      <c r="J37" s="58"/>
      <c r="K37" s="58"/>
      <c r="L37" s="58"/>
      <c r="M37" s="58"/>
      <c r="N37" s="58"/>
      <c r="P37" s="101"/>
      <c r="Q37" s="97"/>
      <c r="R37" s="58"/>
      <c r="S37" s="58"/>
      <c r="T37" s="58"/>
      <c r="U37" s="58"/>
      <c r="V37" s="58"/>
      <c r="W37" s="58"/>
      <c r="X37" s="58"/>
      <c r="Y37" s="58"/>
      <c r="Z37" s="58"/>
    </row>
    <row r="38" spans="2:26" ht="18" customHeight="1" x14ac:dyDescent="0.25">
      <c r="B38" s="21">
        <f t="shared" si="2"/>
        <v>1201</v>
      </c>
      <c r="D38" s="76" t="s">
        <v>343</v>
      </c>
      <c r="E38" s="65" t="s">
        <v>351</v>
      </c>
      <c r="F38" s="57"/>
      <c r="G38" s="57"/>
      <c r="H38" s="68"/>
      <c r="I38" s="68"/>
      <c r="J38" s="57"/>
      <c r="K38" s="57"/>
      <c r="L38" s="57"/>
      <c r="M38" s="57"/>
      <c r="N38" s="57"/>
      <c r="P38" s="100">
        <v>46143</v>
      </c>
      <c r="Q38" s="96"/>
      <c r="R38" s="57"/>
      <c r="S38" s="57"/>
      <c r="T38" s="57"/>
      <c r="U38" s="57"/>
      <c r="V38" s="57"/>
      <c r="W38" s="57"/>
      <c r="X38" s="57"/>
      <c r="Y38" s="57"/>
      <c r="Z38" s="57"/>
    </row>
    <row r="39" spans="2:26" ht="18" customHeight="1" x14ac:dyDescent="0.25">
      <c r="B39" s="21">
        <f t="shared" si="3"/>
        <v>1202</v>
      </c>
      <c r="D39" s="77"/>
      <c r="E39" s="66"/>
      <c r="F39" s="58"/>
      <c r="G39" s="58"/>
      <c r="H39" s="69"/>
      <c r="I39" s="69"/>
      <c r="J39" s="58"/>
      <c r="K39" s="58"/>
      <c r="L39" s="58"/>
      <c r="M39" s="58"/>
      <c r="N39" s="58"/>
      <c r="P39" s="101"/>
      <c r="Q39" s="97"/>
      <c r="R39" s="58"/>
      <c r="S39" s="58"/>
      <c r="T39" s="58"/>
      <c r="U39" s="58"/>
      <c r="V39" s="58"/>
      <c r="W39" s="58"/>
      <c r="X39" s="58"/>
      <c r="Y39" s="58"/>
      <c r="Z39" s="58"/>
    </row>
    <row r="40" spans="2:26" ht="18" customHeight="1" x14ac:dyDescent="0.25">
      <c r="B40" s="21">
        <f t="shared" si="3"/>
        <v>1203</v>
      </c>
      <c r="D40" s="78"/>
      <c r="E40" s="67"/>
      <c r="F40" s="58"/>
      <c r="G40" s="58"/>
      <c r="H40" s="70"/>
      <c r="I40" s="70"/>
      <c r="J40" s="58"/>
      <c r="K40" s="58"/>
      <c r="L40" s="58"/>
      <c r="M40" s="58"/>
      <c r="N40" s="58"/>
      <c r="P40" s="101"/>
      <c r="Q40" s="97"/>
      <c r="R40" s="58"/>
      <c r="S40" s="58"/>
      <c r="T40" s="58"/>
      <c r="U40" s="58"/>
      <c r="V40" s="58"/>
      <c r="W40" s="58"/>
      <c r="X40" s="58"/>
      <c r="Y40" s="58"/>
      <c r="Z40" s="58"/>
    </row>
    <row r="41" spans="2:26" ht="18" customHeight="1" x14ac:dyDescent="0.25">
      <c r="B41" s="21">
        <f t="shared" si="2"/>
        <v>1301</v>
      </c>
      <c r="D41" s="76" t="s">
        <v>343</v>
      </c>
      <c r="E41" s="65" t="s">
        <v>347</v>
      </c>
      <c r="F41" s="57"/>
      <c r="G41" s="57"/>
      <c r="H41" s="68"/>
      <c r="I41" s="68"/>
      <c r="J41" s="57"/>
      <c r="K41" s="57"/>
      <c r="L41" s="57"/>
      <c r="M41" s="57"/>
      <c r="N41" s="57"/>
      <c r="P41" s="100">
        <v>46327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2:26" ht="18" customHeight="1" x14ac:dyDescent="0.25">
      <c r="B42" s="21">
        <f t="shared" si="3"/>
        <v>1302</v>
      </c>
      <c r="D42" s="77"/>
      <c r="E42" s="66"/>
      <c r="F42" s="58"/>
      <c r="G42" s="58"/>
      <c r="H42" s="69"/>
      <c r="I42" s="69"/>
      <c r="J42" s="58"/>
      <c r="K42" s="58"/>
      <c r="L42" s="58"/>
      <c r="M42" s="58"/>
      <c r="N42" s="58"/>
      <c r="P42" s="101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2:26" ht="18" customHeight="1" x14ac:dyDescent="0.25">
      <c r="B43" s="21">
        <f t="shared" si="3"/>
        <v>1303</v>
      </c>
      <c r="D43" s="78"/>
      <c r="E43" s="67"/>
      <c r="F43" s="58"/>
      <c r="G43" s="58"/>
      <c r="H43" s="70"/>
      <c r="I43" s="70"/>
      <c r="J43" s="58"/>
      <c r="K43" s="58"/>
      <c r="L43" s="58"/>
      <c r="M43" s="58"/>
      <c r="N43" s="58"/>
      <c r="P43" s="101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2:26" ht="18" customHeight="1" x14ac:dyDescent="0.25">
      <c r="B44" s="21">
        <f t="shared" si="2"/>
        <v>1401</v>
      </c>
      <c r="D44" s="76" t="s">
        <v>343</v>
      </c>
      <c r="E44" s="65" t="s">
        <v>347</v>
      </c>
      <c r="F44" s="57"/>
      <c r="G44" s="57"/>
      <c r="H44" s="68"/>
      <c r="I44" s="68"/>
      <c r="J44" s="57"/>
      <c r="K44" s="57"/>
      <c r="L44" s="57"/>
      <c r="M44" s="57"/>
      <c r="N44" s="57"/>
      <c r="P44" s="100">
        <v>46327</v>
      </c>
      <c r="Q44" s="96"/>
      <c r="R44" s="57"/>
      <c r="S44" s="57"/>
      <c r="T44" s="57"/>
      <c r="U44" s="57"/>
      <c r="V44" s="57"/>
      <c r="W44" s="57"/>
      <c r="X44" s="57"/>
      <c r="Y44" s="57"/>
      <c r="Z44" s="57"/>
    </row>
    <row r="45" spans="2:26" ht="18" customHeight="1" x14ac:dyDescent="0.25">
      <c r="B45" s="21">
        <f t="shared" si="3"/>
        <v>1402</v>
      </c>
      <c r="D45" s="77"/>
      <c r="E45" s="66"/>
      <c r="F45" s="58"/>
      <c r="G45" s="58"/>
      <c r="H45" s="69"/>
      <c r="I45" s="69"/>
      <c r="J45" s="58"/>
      <c r="K45" s="58"/>
      <c r="L45" s="58"/>
      <c r="M45" s="58"/>
      <c r="N45" s="58"/>
      <c r="P45" s="101"/>
      <c r="Q45" s="97"/>
      <c r="R45" s="58"/>
      <c r="S45" s="58"/>
      <c r="T45" s="58"/>
      <c r="U45" s="58"/>
      <c r="V45" s="58"/>
      <c r="W45" s="58"/>
      <c r="X45" s="58"/>
      <c r="Y45" s="58"/>
      <c r="Z45" s="58"/>
    </row>
    <row r="46" spans="2:26" ht="18" customHeight="1" x14ac:dyDescent="0.25">
      <c r="B46" s="21">
        <f t="shared" si="3"/>
        <v>1403</v>
      </c>
      <c r="D46" s="78"/>
      <c r="E46" s="67"/>
      <c r="F46" s="58"/>
      <c r="G46" s="58"/>
      <c r="H46" s="70"/>
      <c r="I46" s="70"/>
      <c r="J46" s="58"/>
      <c r="K46" s="58"/>
      <c r="L46" s="58"/>
      <c r="M46" s="58"/>
      <c r="N46" s="58"/>
      <c r="P46" s="101"/>
      <c r="Q46" s="97"/>
      <c r="R46" s="58"/>
      <c r="S46" s="58"/>
      <c r="T46" s="58"/>
      <c r="U46" s="58"/>
      <c r="V46" s="58"/>
      <c r="W46" s="58"/>
      <c r="X46" s="58"/>
      <c r="Y46" s="58"/>
      <c r="Z46" s="58"/>
    </row>
    <row r="47" spans="2:26" ht="18" customHeight="1" x14ac:dyDescent="0.25">
      <c r="B47" s="21">
        <f t="shared" si="2"/>
        <v>1501</v>
      </c>
      <c r="D47" s="76" t="s">
        <v>343</v>
      </c>
      <c r="E47" s="65" t="s">
        <v>347</v>
      </c>
      <c r="F47" s="57"/>
      <c r="G47" s="57"/>
      <c r="H47" s="68"/>
      <c r="I47" s="68"/>
      <c r="J47" s="57"/>
      <c r="K47" s="57"/>
      <c r="L47" s="57"/>
      <c r="M47" s="57"/>
      <c r="N47" s="57"/>
      <c r="P47" s="100">
        <v>46327</v>
      </c>
      <c r="Q47" s="96"/>
      <c r="R47" s="57"/>
      <c r="S47" s="57"/>
      <c r="T47" s="57"/>
      <c r="U47" s="57"/>
      <c r="V47" s="57"/>
      <c r="W47" s="57"/>
      <c r="X47" s="57"/>
      <c r="Y47" s="57"/>
      <c r="Z47" s="57"/>
    </row>
    <row r="48" spans="2:26" ht="18" customHeight="1" x14ac:dyDescent="0.25">
      <c r="B48" s="21">
        <f t="shared" si="3"/>
        <v>1502</v>
      </c>
      <c r="D48" s="77"/>
      <c r="E48" s="66"/>
      <c r="F48" s="58"/>
      <c r="G48" s="58"/>
      <c r="H48" s="69"/>
      <c r="I48" s="69"/>
      <c r="J48" s="58"/>
      <c r="K48" s="58"/>
      <c r="L48" s="58"/>
      <c r="M48" s="58"/>
      <c r="N48" s="58"/>
      <c r="P48" s="101"/>
      <c r="Q48" s="97"/>
      <c r="R48" s="58"/>
      <c r="S48" s="58"/>
      <c r="T48" s="58"/>
      <c r="U48" s="58"/>
      <c r="V48" s="58"/>
      <c r="W48" s="58"/>
      <c r="X48" s="58"/>
      <c r="Y48" s="58"/>
      <c r="Z48" s="58"/>
    </row>
    <row r="49" spans="2:26" ht="18" customHeight="1" x14ac:dyDescent="0.25">
      <c r="B49" s="21">
        <f t="shared" si="3"/>
        <v>1503</v>
      </c>
      <c r="D49" s="78"/>
      <c r="E49" s="67"/>
      <c r="F49" s="58"/>
      <c r="G49" s="58"/>
      <c r="H49" s="70"/>
      <c r="I49" s="70"/>
      <c r="J49" s="58"/>
      <c r="K49" s="58"/>
      <c r="L49" s="58"/>
      <c r="M49" s="58"/>
      <c r="N49" s="58"/>
      <c r="P49" s="101"/>
      <c r="Q49" s="97"/>
      <c r="R49" s="58"/>
      <c r="S49" s="58"/>
      <c r="T49" s="58"/>
      <c r="U49" s="58"/>
      <c r="V49" s="58"/>
      <c r="W49" s="58"/>
      <c r="X49" s="58"/>
      <c r="Y49" s="58"/>
      <c r="Z49" s="58"/>
    </row>
    <row r="50" spans="2:26" ht="18" customHeight="1" x14ac:dyDescent="0.25">
      <c r="B50" s="21">
        <f t="shared" si="2"/>
        <v>1601</v>
      </c>
      <c r="D50" s="76" t="s">
        <v>343</v>
      </c>
      <c r="E50" s="65" t="s">
        <v>347</v>
      </c>
      <c r="F50" s="57"/>
      <c r="G50" s="57"/>
      <c r="H50" s="68"/>
      <c r="I50" s="68"/>
      <c r="J50" s="57"/>
      <c r="K50" s="57"/>
      <c r="L50" s="57"/>
      <c r="M50" s="57"/>
      <c r="N50" s="57"/>
      <c r="P50" s="100">
        <v>46327</v>
      </c>
      <c r="Q50" s="96"/>
      <c r="R50" s="57"/>
      <c r="S50" s="57"/>
      <c r="T50" s="57"/>
      <c r="U50" s="57"/>
      <c r="V50" s="57"/>
      <c r="W50" s="57"/>
      <c r="X50" s="57"/>
      <c r="Y50" s="57"/>
      <c r="Z50" s="57"/>
    </row>
    <row r="51" spans="2:26" ht="18" customHeight="1" x14ac:dyDescent="0.25">
      <c r="B51" s="21">
        <f t="shared" si="3"/>
        <v>1602</v>
      </c>
      <c r="D51" s="77"/>
      <c r="E51" s="66"/>
      <c r="F51" s="58"/>
      <c r="G51" s="58"/>
      <c r="H51" s="69"/>
      <c r="I51" s="69"/>
      <c r="J51" s="58"/>
      <c r="K51" s="58"/>
      <c r="L51" s="58"/>
      <c r="M51" s="58"/>
      <c r="N51" s="58"/>
      <c r="P51" s="101"/>
      <c r="Q51" s="97"/>
      <c r="R51" s="58"/>
      <c r="S51" s="58"/>
      <c r="T51" s="58"/>
      <c r="U51" s="58"/>
      <c r="V51" s="58"/>
      <c r="W51" s="58"/>
      <c r="X51" s="58"/>
      <c r="Y51" s="58"/>
      <c r="Z51" s="58"/>
    </row>
    <row r="52" spans="2:26" ht="18" customHeight="1" x14ac:dyDescent="0.25">
      <c r="B52" s="21">
        <f t="shared" si="3"/>
        <v>1603</v>
      </c>
      <c r="D52" s="78"/>
      <c r="E52" s="67"/>
      <c r="F52" s="58"/>
      <c r="G52" s="58"/>
      <c r="H52" s="70"/>
      <c r="I52" s="70"/>
      <c r="J52" s="58"/>
      <c r="K52" s="58"/>
      <c r="L52" s="58"/>
      <c r="M52" s="58"/>
      <c r="N52" s="58"/>
      <c r="P52" s="101"/>
      <c r="Q52" s="97"/>
      <c r="R52" s="58"/>
      <c r="S52" s="58"/>
      <c r="T52" s="58"/>
      <c r="U52" s="58"/>
      <c r="V52" s="58"/>
      <c r="W52" s="58"/>
      <c r="X52" s="58"/>
      <c r="Y52" s="58"/>
      <c r="Z52" s="58"/>
    </row>
    <row r="53" spans="2:26" ht="18" customHeight="1" x14ac:dyDescent="0.25">
      <c r="B53" s="21">
        <f t="shared" si="2"/>
        <v>1701</v>
      </c>
      <c r="D53" s="76" t="s">
        <v>343</v>
      </c>
      <c r="E53" s="65" t="s">
        <v>347</v>
      </c>
      <c r="F53" s="57"/>
      <c r="G53" s="57"/>
      <c r="H53" s="68"/>
      <c r="I53" s="68"/>
      <c r="J53" s="57"/>
      <c r="K53" s="57"/>
      <c r="L53" s="57"/>
      <c r="M53" s="57"/>
      <c r="N53" s="57"/>
      <c r="P53" s="100">
        <v>46327</v>
      </c>
      <c r="Q53" s="96"/>
      <c r="R53" s="57"/>
      <c r="S53" s="57"/>
      <c r="T53" s="57"/>
      <c r="U53" s="57"/>
      <c r="V53" s="57"/>
      <c r="W53" s="57"/>
      <c r="X53" s="59"/>
      <c r="Y53" s="57"/>
      <c r="Z53" s="57"/>
    </row>
    <row r="54" spans="2:26" ht="18" customHeight="1" x14ac:dyDescent="0.25">
      <c r="B54" s="21">
        <f t="shared" si="3"/>
        <v>1702</v>
      </c>
      <c r="D54" s="77"/>
      <c r="E54" s="66"/>
      <c r="F54" s="58"/>
      <c r="G54" s="58"/>
      <c r="H54" s="69"/>
      <c r="I54" s="69"/>
      <c r="J54" s="58"/>
      <c r="K54" s="58"/>
      <c r="L54" s="58"/>
      <c r="M54" s="58"/>
      <c r="N54" s="58"/>
      <c r="P54" s="101"/>
      <c r="Q54" s="97"/>
      <c r="R54" s="58"/>
      <c r="S54" s="58"/>
      <c r="T54" s="58"/>
      <c r="U54" s="58"/>
      <c r="V54" s="58"/>
      <c r="W54" s="58"/>
      <c r="X54" s="60"/>
      <c r="Y54" s="58"/>
      <c r="Z54" s="58"/>
    </row>
    <row r="55" spans="2:26" ht="18" customHeight="1" x14ac:dyDescent="0.25">
      <c r="B55" s="21">
        <f t="shared" si="3"/>
        <v>1703</v>
      </c>
      <c r="D55" s="78"/>
      <c r="E55" s="67"/>
      <c r="F55" s="58"/>
      <c r="G55" s="58"/>
      <c r="H55" s="70"/>
      <c r="I55" s="70"/>
      <c r="J55" s="58"/>
      <c r="K55" s="58"/>
      <c r="L55" s="58"/>
      <c r="M55" s="58"/>
      <c r="N55" s="58"/>
      <c r="P55" s="101"/>
      <c r="Q55" s="97"/>
      <c r="R55" s="58"/>
      <c r="S55" s="58"/>
      <c r="T55" s="58"/>
      <c r="U55" s="58"/>
      <c r="V55" s="58"/>
      <c r="W55" s="58"/>
      <c r="X55" s="61"/>
      <c r="Y55" s="58"/>
      <c r="Z55" s="58"/>
    </row>
    <row r="56" spans="2:26" ht="18" customHeight="1" x14ac:dyDescent="0.25">
      <c r="B56" s="21">
        <f t="shared" si="2"/>
        <v>1801</v>
      </c>
      <c r="D56" s="76" t="s">
        <v>343</v>
      </c>
      <c r="E56" s="65" t="s">
        <v>347</v>
      </c>
      <c r="F56" s="57"/>
      <c r="G56" s="57"/>
      <c r="H56" s="68"/>
      <c r="I56" s="68"/>
      <c r="J56" s="57"/>
      <c r="K56" s="57"/>
      <c r="L56" s="57"/>
      <c r="M56" s="57"/>
      <c r="N56" s="57"/>
      <c r="P56" s="100">
        <v>46327</v>
      </c>
      <c r="Q56" s="96"/>
      <c r="R56" s="57"/>
      <c r="S56" s="57"/>
      <c r="T56" s="57"/>
      <c r="U56" s="57"/>
      <c r="V56" s="57"/>
      <c r="W56" s="57"/>
      <c r="X56" s="57"/>
      <c r="Y56" s="57"/>
      <c r="Z56" s="57"/>
    </row>
    <row r="57" spans="2:26" ht="18" customHeight="1" x14ac:dyDescent="0.25">
      <c r="B57" s="21">
        <f t="shared" si="3"/>
        <v>1802</v>
      </c>
      <c r="D57" s="77"/>
      <c r="E57" s="66"/>
      <c r="F57" s="58"/>
      <c r="G57" s="58"/>
      <c r="H57" s="69"/>
      <c r="I57" s="69"/>
      <c r="J57" s="58"/>
      <c r="K57" s="58"/>
      <c r="L57" s="58"/>
      <c r="M57" s="58"/>
      <c r="N57" s="58"/>
      <c r="P57" s="101"/>
      <c r="Q57" s="97"/>
      <c r="R57" s="58"/>
      <c r="S57" s="58"/>
      <c r="T57" s="58"/>
      <c r="U57" s="58"/>
      <c r="V57" s="58"/>
      <c r="W57" s="58"/>
      <c r="X57" s="58"/>
      <c r="Y57" s="58"/>
      <c r="Z57" s="58"/>
    </row>
    <row r="58" spans="2:26" ht="18" customHeight="1" x14ac:dyDescent="0.25">
      <c r="B58" s="21">
        <f t="shared" si="3"/>
        <v>1803</v>
      </c>
      <c r="D58" s="78"/>
      <c r="E58" s="67"/>
      <c r="F58" s="58"/>
      <c r="G58" s="58"/>
      <c r="H58" s="70"/>
      <c r="I58" s="70"/>
      <c r="J58" s="58"/>
      <c r="K58" s="58"/>
      <c r="L58" s="58"/>
      <c r="M58" s="58"/>
      <c r="N58" s="58"/>
      <c r="P58" s="101"/>
      <c r="Q58" s="97"/>
      <c r="R58" s="58"/>
      <c r="S58" s="58"/>
      <c r="T58" s="58"/>
      <c r="U58" s="58"/>
      <c r="V58" s="58"/>
      <c r="W58" s="58"/>
      <c r="X58" s="58"/>
      <c r="Y58" s="58"/>
      <c r="Z58" s="58"/>
    </row>
    <row r="59" spans="2:26" ht="18" customHeight="1" x14ac:dyDescent="0.25">
      <c r="B59" s="21">
        <f t="shared" si="2"/>
        <v>1901</v>
      </c>
      <c r="D59" s="76" t="s">
        <v>343</v>
      </c>
      <c r="E59" s="65" t="s">
        <v>347</v>
      </c>
      <c r="F59" s="57"/>
      <c r="G59" s="57"/>
      <c r="H59" s="68"/>
      <c r="I59" s="68"/>
      <c r="J59" s="57"/>
      <c r="K59" s="57"/>
      <c r="L59" s="57"/>
      <c r="M59" s="57"/>
      <c r="N59" s="57"/>
      <c r="P59" s="98" t="s">
        <v>358</v>
      </c>
      <c r="Q59" s="96"/>
      <c r="R59" s="57"/>
      <c r="S59" s="57"/>
      <c r="T59" s="57"/>
      <c r="U59" s="57"/>
      <c r="V59" s="57"/>
      <c r="W59" s="57"/>
      <c r="X59" s="57"/>
      <c r="Y59" s="57"/>
      <c r="Z59" s="57"/>
    </row>
    <row r="60" spans="2:26" ht="18" customHeight="1" x14ac:dyDescent="0.25">
      <c r="B60" s="21">
        <f t="shared" si="3"/>
        <v>1902</v>
      </c>
      <c r="D60" s="77"/>
      <c r="E60" s="66"/>
      <c r="F60" s="58"/>
      <c r="G60" s="58"/>
      <c r="H60" s="69"/>
      <c r="I60" s="69"/>
      <c r="J60" s="58"/>
      <c r="K60" s="58"/>
      <c r="L60" s="58"/>
      <c r="M60" s="58"/>
      <c r="N60" s="58"/>
      <c r="P60" s="101"/>
      <c r="Q60" s="97"/>
      <c r="R60" s="58"/>
      <c r="S60" s="58"/>
      <c r="T60" s="58"/>
      <c r="U60" s="58"/>
      <c r="V60" s="58"/>
      <c r="W60" s="58"/>
      <c r="X60" s="58"/>
      <c r="Y60" s="58"/>
      <c r="Z60" s="58"/>
    </row>
    <row r="61" spans="2:26" ht="18" customHeight="1" x14ac:dyDescent="0.25">
      <c r="B61" s="21">
        <f t="shared" si="3"/>
        <v>1903</v>
      </c>
      <c r="D61" s="78"/>
      <c r="E61" s="67"/>
      <c r="F61" s="58"/>
      <c r="G61" s="58"/>
      <c r="H61" s="70"/>
      <c r="I61" s="70"/>
      <c r="J61" s="58"/>
      <c r="K61" s="58"/>
      <c r="L61" s="58"/>
      <c r="M61" s="58"/>
      <c r="N61" s="58"/>
      <c r="P61" s="101"/>
      <c r="Q61" s="97"/>
      <c r="R61" s="58"/>
      <c r="S61" s="58"/>
      <c r="T61" s="58"/>
      <c r="U61" s="58"/>
      <c r="V61" s="58"/>
      <c r="W61" s="58"/>
      <c r="X61" s="58"/>
      <c r="Y61" s="58"/>
      <c r="Z61" s="58"/>
    </row>
    <row r="62" spans="2:26" ht="18" customHeight="1" x14ac:dyDescent="0.25">
      <c r="B62" s="21">
        <f t="shared" si="2"/>
        <v>2001</v>
      </c>
      <c r="D62" s="76" t="s">
        <v>343</v>
      </c>
      <c r="E62" s="65" t="s">
        <v>347</v>
      </c>
      <c r="F62" s="57"/>
      <c r="G62" s="57"/>
      <c r="H62" s="68"/>
      <c r="I62" s="68"/>
      <c r="J62" s="57"/>
      <c r="K62" s="57"/>
      <c r="L62" s="57"/>
      <c r="M62" s="57"/>
      <c r="N62" s="57"/>
      <c r="P62" s="98" t="s">
        <v>358</v>
      </c>
      <c r="Q62" s="96"/>
      <c r="R62" s="57"/>
      <c r="S62" s="57"/>
      <c r="T62" s="57"/>
      <c r="U62" s="57"/>
      <c r="V62" s="57"/>
      <c r="W62" s="57"/>
      <c r="X62" s="57"/>
      <c r="Y62" s="57"/>
      <c r="Z62" s="57"/>
    </row>
    <row r="63" spans="2:26" ht="18" customHeight="1" x14ac:dyDescent="0.25">
      <c r="B63" s="21">
        <f t="shared" si="3"/>
        <v>2002</v>
      </c>
      <c r="D63" s="77"/>
      <c r="E63" s="66"/>
      <c r="F63" s="58"/>
      <c r="G63" s="58"/>
      <c r="H63" s="69"/>
      <c r="I63" s="69"/>
      <c r="J63" s="58"/>
      <c r="K63" s="58"/>
      <c r="L63" s="58"/>
      <c r="M63" s="58"/>
      <c r="N63" s="58"/>
      <c r="P63" s="101"/>
      <c r="Q63" s="97"/>
      <c r="R63" s="58"/>
      <c r="S63" s="58"/>
      <c r="T63" s="58"/>
      <c r="U63" s="58"/>
      <c r="V63" s="58"/>
      <c r="W63" s="58"/>
      <c r="X63" s="58"/>
      <c r="Y63" s="58"/>
      <c r="Z63" s="58"/>
    </row>
    <row r="64" spans="2:26" ht="18" customHeight="1" x14ac:dyDescent="0.25">
      <c r="B64" s="21">
        <f t="shared" si="3"/>
        <v>2003</v>
      </c>
      <c r="D64" s="78"/>
      <c r="E64" s="67"/>
      <c r="F64" s="58"/>
      <c r="G64" s="58"/>
      <c r="H64" s="70"/>
      <c r="I64" s="70"/>
      <c r="J64" s="58"/>
      <c r="K64" s="58"/>
      <c r="L64" s="58"/>
      <c r="M64" s="58"/>
      <c r="N64" s="58"/>
      <c r="P64" s="101"/>
      <c r="Q64" s="97"/>
      <c r="R64" s="58"/>
      <c r="S64" s="58"/>
      <c r="T64" s="58"/>
      <c r="U64" s="58"/>
      <c r="V64" s="58"/>
      <c r="W64" s="58"/>
      <c r="X64" s="58"/>
      <c r="Y64" s="58"/>
      <c r="Z64" s="58"/>
    </row>
    <row r="65" spans="2:26" ht="18" customHeight="1" x14ac:dyDescent="0.25">
      <c r="B65" s="21">
        <f t="shared" si="2"/>
        <v>2101</v>
      </c>
      <c r="D65" s="76" t="s">
        <v>343</v>
      </c>
      <c r="E65" s="65" t="s">
        <v>347</v>
      </c>
      <c r="F65" s="57"/>
      <c r="G65" s="57"/>
      <c r="H65" s="68"/>
      <c r="I65" s="68"/>
      <c r="J65" s="57"/>
      <c r="K65" s="57"/>
      <c r="L65" s="57"/>
      <c r="M65" s="57"/>
      <c r="N65" s="57"/>
      <c r="P65" s="98" t="s">
        <v>359</v>
      </c>
      <c r="Q65" s="96"/>
      <c r="R65" s="57"/>
      <c r="S65" s="57"/>
      <c r="T65" s="57"/>
      <c r="U65" s="57"/>
      <c r="V65" s="57"/>
      <c r="W65" s="57"/>
      <c r="X65" s="57"/>
      <c r="Y65" s="57"/>
      <c r="Z65" s="57"/>
    </row>
    <row r="66" spans="2:26" ht="18" customHeight="1" x14ac:dyDescent="0.25">
      <c r="B66" s="21">
        <f t="shared" si="3"/>
        <v>2102</v>
      </c>
      <c r="D66" s="77"/>
      <c r="E66" s="66"/>
      <c r="F66" s="58"/>
      <c r="G66" s="58"/>
      <c r="H66" s="69"/>
      <c r="I66" s="69"/>
      <c r="J66" s="58"/>
      <c r="K66" s="58"/>
      <c r="L66" s="58"/>
      <c r="M66" s="58"/>
      <c r="N66" s="58"/>
      <c r="P66" s="101"/>
      <c r="Q66" s="97"/>
      <c r="R66" s="58"/>
      <c r="S66" s="58"/>
      <c r="T66" s="58"/>
      <c r="U66" s="58"/>
      <c r="V66" s="58"/>
      <c r="W66" s="58"/>
      <c r="X66" s="58"/>
      <c r="Y66" s="58"/>
      <c r="Z66" s="58"/>
    </row>
    <row r="67" spans="2:26" ht="18" customHeight="1" x14ac:dyDescent="0.25">
      <c r="B67" s="21">
        <f t="shared" si="3"/>
        <v>2103</v>
      </c>
      <c r="D67" s="78"/>
      <c r="E67" s="67"/>
      <c r="F67" s="58"/>
      <c r="G67" s="58"/>
      <c r="H67" s="70"/>
      <c r="I67" s="70"/>
      <c r="J67" s="58"/>
      <c r="K67" s="58"/>
      <c r="L67" s="58"/>
      <c r="M67" s="58"/>
      <c r="N67" s="58"/>
      <c r="P67" s="101"/>
      <c r="Q67" s="97"/>
      <c r="R67" s="58"/>
      <c r="S67" s="58"/>
      <c r="T67" s="58"/>
      <c r="U67" s="58"/>
      <c r="V67" s="58"/>
      <c r="W67" s="58"/>
      <c r="X67" s="58"/>
      <c r="Y67" s="58"/>
      <c r="Z67" s="58"/>
    </row>
    <row r="68" spans="2:26" ht="18" customHeight="1" x14ac:dyDescent="0.25">
      <c r="B68" s="21">
        <f t="shared" si="2"/>
        <v>2201</v>
      </c>
      <c r="D68" s="76" t="s">
        <v>343</v>
      </c>
      <c r="E68" s="65" t="s">
        <v>347</v>
      </c>
      <c r="F68" s="57"/>
      <c r="G68" s="57"/>
      <c r="H68" s="68"/>
      <c r="I68" s="68"/>
      <c r="J68" s="57"/>
      <c r="K68" s="57"/>
      <c r="L68" s="57"/>
      <c r="M68" s="57"/>
      <c r="N68" s="57"/>
      <c r="P68" s="98" t="s">
        <v>359</v>
      </c>
      <c r="Q68" s="96"/>
      <c r="R68" s="57"/>
      <c r="S68" s="57"/>
      <c r="T68" s="57"/>
      <c r="U68" s="57"/>
      <c r="V68" s="57"/>
      <c r="W68" s="57"/>
      <c r="X68" s="57"/>
      <c r="Y68" s="57"/>
      <c r="Z68" s="57"/>
    </row>
    <row r="69" spans="2:26" ht="18" customHeight="1" x14ac:dyDescent="0.25">
      <c r="B69" s="21">
        <f t="shared" si="3"/>
        <v>2202</v>
      </c>
      <c r="D69" s="77"/>
      <c r="E69" s="66"/>
      <c r="F69" s="58"/>
      <c r="G69" s="58"/>
      <c r="H69" s="69"/>
      <c r="I69" s="69"/>
      <c r="J69" s="58"/>
      <c r="K69" s="58"/>
      <c r="L69" s="58"/>
      <c r="M69" s="58"/>
      <c r="N69" s="58"/>
      <c r="P69" s="101"/>
      <c r="Q69" s="97"/>
      <c r="R69" s="58"/>
      <c r="S69" s="58"/>
      <c r="T69" s="58"/>
      <c r="U69" s="58"/>
      <c r="V69" s="58"/>
      <c r="W69" s="58"/>
      <c r="X69" s="58"/>
      <c r="Y69" s="58"/>
      <c r="Z69" s="58"/>
    </row>
    <row r="70" spans="2:26" ht="18" customHeight="1" x14ac:dyDescent="0.25">
      <c r="B70" s="21">
        <f t="shared" si="3"/>
        <v>2203</v>
      </c>
      <c r="D70" s="78"/>
      <c r="E70" s="67"/>
      <c r="F70" s="58"/>
      <c r="G70" s="58"/>
      <c r="H70" s="70"/>
      <c r="I70" s="70"/>
      <c r="J70" s="58"/>
      <c r="K70" s="58"/>
      <c r="L70" s="58"/>
      <c r="M70" s="58"/>
      <c r="N70" s="58"/>
      <c r="P70" s="101"/>
      <c r="Q70" s="97"/>
      <c r="R70" s="58"/>
      <c r="S70" s="58"/>
      <c r="T70" s="58"/>
      <c r="U70" s="58"/>
      <c r="V70" s="58"/>
      <c r="W70" s="58"/>
      <c r="X70" s="58"/>
      <c r="Y70" s="58"/>
      <c r="Z70" s="58"/>
    </row>
    <row r="71" spans="2:26" ht="18" customHeight="1" x14ac:dyDescent="0.25">
      <c r="B71" s="21">
        <f t="shared" si="2"/>
        <v>2301</v>
      </c>
      <c r="D71" s="76" t="s">
        <v>343</v>
      </c>
      <c r="E71" s="65" t="s">
        <v>347</v>
      </c>
      <c r="F71" s="57"/>
      <c r="G71" s="57"/>
      <c r="H71" s="68"/>
      <c r="I71" s="68"/>
      <c r="J71" s="57"/>
      <c r="K71" s="57"/>
      <c r="L71" s="57"/>
      <c r="M71" s="57"/>
      <c r="N71" s="57"/>
      <c r="P71" s="98" t="s">
        <v>360</v>
      </c>
      <c r="Q71" s="96"/>
      <c r="R71" s="57"/>
      <c r="S71" s="57"/>
      <c r="T71" s="57"/>
      <c r="U71" s="57"/>
      <c r="V71" s="57"/>
      <c r="W71" s="57"/>
      <c r="X71" s="57"/>
      <c r="Y71" s="57"/>
      <c r="Z71" s="57"/>
    </row>
    <row r="72" spans="2:26" ht="18" customHeight="1" x14ac:dyDescent="0.25">
      <c r="B72" s="21">
        <f t="shared" si="3"/>
        <v>2302</v>
      </c>
      <c r="D72" s="77"/>
      <c r="E72" s="66"/>
      <c r="F72" s="58"/>
      <c r="G72" s="58"/>
      <c r="H72" s="69"/>
      <c r="I72" s="69"/>
      <c r="J72" s="58"/>
      <c r="K72" s="58"/>
      <c r="L72" s="58"/>
      <c r="M72" s="58"/>
      <c r="N72" s="58"/>
      <c r="P72" s="101"/>
      <c r="Q72" s="97"/>
      <c r="R72" s="58"/>
      <c r="S72" s="58"/>
      <c r="T72" s="58"/>
      <c r="U72" s="58"/>
      <c r="V72" s="58"/>
      <c r="W72" s="58"/>
      <c r="X72" s="58"/>
      <c r="Y72" s="58"/>
      <c r="Z72" s="58"/>
    </row>
    <row r="73" spans="2:26" ht="18" customHeight="1" x14ac:dyDescent="0.25">
      <c r="B73" s="21">
        <f t="shared" si="3"/>
        <v>2303</v>
      </c>
      <c r="D73" s="78"/>
      <c r="E73" s="67"/>
      <c r="F73" s="58"/>
      <c r="G73" s="58"/>
      <c r="H73" s="70"/>
      <c r="I73" s="70"/>
      <c r="J73" s="58"/>
      <c r="K73" s="58"/>
      <c r="L73" s="58"/>
      <c r="M73" s="58"/>
      <c r="N73" s="58"/>
      <c r="P73" s="101"/>
      <c r="Q73" s="97"/>
      <c r="R73" s="58"/>
      <c r="S73" s="58"/>
      <c r="T73" s="58"/>
      <c r="U73" s="58"/>
      <c r="V73" s="58"/>
      <c r="W73" s="58"/>
      <c r="X73" s="58"/>
      <c r="Y73" s="58"/>
      <c r="Z73" s="58"/>
    </row>
    <row r="74" spans="2:26" ht="18" customHeight="1" x14ac:dyDescent="0.25">
      <c r="B74" s="21">
        <f t="shared" si="2"/>
        <v>2401</v>
      </c>
      <c r="D74" s="76" t="s">
        <v>343</v>
      </c>
      <c r="E74" s="65" t="s">
        <v>347</v>
      </c>
      <c r="F74" s="57"/>
      <c r="G74" s="57"/>
      <c r="H74" s="68"/>
      <c r="I74" s="68"/>
      <c r="J74" s="57"/>
      <c r="K74" s="57"/>
      <c r="L74" s="57"/>
      <c r="M74" s="57"/>
      <c r="N74" s="57"/>
      <c r="P74" s="98" t="s">
        <v>360</v>
      </c>
      <c r="Q74" s="96"/>
      <c r="R74" s="57"/>
      <c r="S74" s="57"/>
      <c r="T74" s="57"/>
      <c r="U74" s="57"/>
      <c r="V74" s="57"/>
      <c r="W74" s="57"/>
      <c r="X74" s="57"/>
      <c r="Y74" s="57"/>
      <c r="Z74" s="57"/>
    </row>
    <row r="75" spans="2:26" ht="18" customHeight="1" x14ac:dyDescent="0.25">
      <c r="B75" s="21">
        <f t="shared" si="3"/>
        <v>2402</v>
      </c>
      <c r="D75" s="77"/>
      <c r="E75" s="66"/>
      <c r="F75" s="58"/>
      <c r="G75" s="58"/>
      <c r="H75" s="69"/>
      <c r="I75" s="69"/>
      <c r="J75" s="58"/>
      <c r="K75" s="58"/>
      <c r="L75" s="58"/>
      <c r="M75" s="58"/>
      <c r="N75" s="58"/>
      <c r="P75" s="101"/>
      <c r="Q75" s="97"/>
      <c r="R75" s="58"/>
      <c r="S75" s="58"/>
      <c r="T75" s="58"/>
      <c r="U75" s="58"/>
      <c r="V75" s="58"/>
      <c r="W75" s="58"/>
      <c r="X75" s="58"/>
      <c r="Y75" s="58"/>
      <c r="Z75" s="58"/>
    </row>
    <row r="76" spans="2:26" ht="18" customHeight="1" x14ac:dyDescent="0.25">
      <c r="B76" s="21">
        <f t="shared" si="3"/>
        <v>2403</v>
      </c>
      <c r="D76" s="78"/>
      <c r="E76" s="67"/>
      <c r="F76" s="58"/>
      <c r="G76" s="58"/>
      <c r="H76" s="70"/>
      <c r="I76" s="70"/>
      <c r="J76" s="58"/>
      <c r="K76" s="58"/>
      <c r="L76" s="58"/>
      <c r="M76" s="58"/>
      <c r="N76" s="58"/>
      <c r="P76" s="101"/>
      <c r="Q76" s="97"/>
      <c r="R76" s="58"/>
      <c r="S76" s="58"/>
      <c r="T76" s="58"/>
      <c r="U76" s="58"/>
      <c r="V76" s="58"/>
      <c r="W76" s="58"/>
      <c r="X76" s="58"/>
      <c r="Y76" s="58"/>
      <c r="Z76" s="58"/>
    </row>
    <row r="77" spans="2:26" ht="18" customHeight="1" x14ac:dyDescent="0.25">
      <c r="B77" s="21">
        <f t="shared" si="2"/>
        <v>2501</v>
      </c>
      <c r="D77" s="76" t="s">
        <v>343</v>
      </c>
      <c r="E77" s="65" t="s">
        <v>347</v>
      </c>
      <c r="F77" s="57"/>
      <c r="G77" s="57"/>
      <c r="H77" s="68"/>
      <c r="I77" s="68"/>
      <c r="J77" s="57"/>
      <c r="K77" s="57"/>
      <c r="L77" s="57"/>
      <c r="M77" s="57"/>
      <c r="N77" s="57"/>
      <c r="P77" s="102" t="s">
        <v>361</v>
      </c>
      <c r="Q77" s="96"/>
      <c r="R77" s="57"/>
      <c r="S77" s="57"/>
      <c r="T77" s="57"/>
      <c r="U77" s="57"/>
      <c r="V77" s="57"/>
      <c r="W77" s="57"/>
      <c r="X77" s="57"/>
      <c r="Y77" s="57"/>
      <c r="Z77" s="57"/>
    </row>
    <row r="78" spans="2:26" ht="18" customHeight="1" x14ac:dyDescent="0.25">
      <c r="B78" s="21">
        <f t="shared" si="3"/>
        <v>2502</v>
      </c>
      <c r="D78" s="77"/>
      <c r="E78" s="66"/>
      <c r="F78" s="58"/>
      <c r="G78" s="58"/>
      <c r="H78" s="69"/>
      <c r="I78" s="69"/>
      <c r="J78" s="58"/>
      <c r="K78" s="58"/>
      <c r="L78" s="58"/>
      <c r="M78" s="58"/>
      <c r="N78" s="58"/>
      <c r="P78" s="103"/>
      <c r="Q78" s="97"/>
      <c r="R78" s="58"/>
      <c r="S78" s="58"/>
      <c r="T78" s="58"/>
      <c r="U78" s="58"/>
      <c r="V78" s="58"/>
      <c r="W78" s="58"/>
      <c r="X78" s="58"/>
      <c r="Y78" s="58"/>
      <c r="Z78" s="58"/>
    </row>
    <row r="79" spans="2:26" ht="18" customHeight="1" x14ac:dyDescent="0.25">
      <c r="B79" s="21">
        <f t="shared" ref="B79:B100" si="4">B78+1</f>
        <v>2503</v>
      </c>
      <c r="D79" s="78"/>
      <c r="E79" s="67"/>
      <c r="F79" s="58"/>
      <c r="G79" s="58"/>
      <c r="H79" s="70"/>
      <c r="I79" s="70"/>
      <c r="J79" s="58"/>
      <c r="K79" s="58"/>
      <c r="L79" s="58"/>
      <c r="M79" s="58"/>
      <c r="N79" s="58"/>
      <c r="P79" s="104"/>
      <c r="Q79" s="97"/>
      <c r="R79" s="58"/>
      <c r="S79" s="58"/>
      <c r="T79" s="58"/>
      <c r="U79" s="58"/>
      <c r="V79" s="58"/>
      <c r="W79" s="58"/>
      <c r="X79" s="58"/>
      <c r="Y79" s="58"/>
      <c r="Z79" s="58"/>
    </row>
    <row r="80" spans="2:26" ht="18" customHeight="1" x14ac:dyDescent="0.25">
      <c r="B80" s="21">
        <f t="shared" ref="B80:B98" si="5">B79+98</f>
        <v>2601</v>
      </c>
      <c r="D80" s="76" t="s">
        <v>343</v>
      </c>
      <c r="E80" s="65" t="s">
        <v>347</v>
      </c>
      <c r="F80" s="57"/>
      <c r="G80" s="57"/>
      <c r="H80" s="68"/>
      <c r="I80" s="68"/>
      <c r="J80" s="57"/>
      <c r="K80" s="57"/>
      <c r="L80" s="57"/>
      <c r="M80" s="57"/>
      <c r="N80" s="57"/>
      <c r="P80" s="102" t="s">
        <v>361</v>
      </c>
      <c r="Q80" s="96"/>
      <c r="R80" s="57"/>
      <c r="S80" s="57"/>
      <c r="T80" s="57"/>
      <c r="U80" s="57"/>
      <c r="V80" s="57"/>
      <c r="W80" s="57"/>
      <c r="X80" s="57"/>
      <c r="Y80" s="57"/>
      <c r="Z80" s="57"/>
    </row>
    <row r="81" spans="2:26" ht="18" customHeight="1" x14ac:dyDescent="0.25">
      <c r="B81" s="21">
        <f t="shared" si="4"/>
        <v>2602</v>
      </c>
      <c r="D81" s="77"/>
      <c r="E81" s="66"/>
      <c r="F81" s="58"/>
      <c r="G81" s="58"/>
      <c r="H81" s="69"/>
      <c r="I81" s="69"/>
      <c r="J81" s="58"/>
      <c r="K81" s="58"/>
      <c r="L81" s="58"/>
      <c r="M81" s="58"/>
      <c r="N81" s="58"/>
      <c r="P81" s="103"/>
      <c r="Q81" s="97"/>
      <c r="R81" s="58"/>
      <c r="S81" s="58"/>
      <c r="T81" s="58"/>
      <c r="U81" s="58"/>
      <c r="V81" s="58"/>
      <c r="W81" s="58"/>
      <c r="X81" s="58"/>
      <c r="Y81" s="58"/>
      <c r="Z81" s="58"/>
    </row>
    <row r="82" spans="2:26" ht="18" customHeight="1" x14ac:dyDescent="0.25">
      <c r="B82" s="21">
        <f t="shared" si="4"/>
        <v>2603</v>
      </c>
      <c r="D82" s="78"/>
      <c r="E82" s="67"/>
      <c r="F82" s="58"/>
      <c r="G82" s="58"/>
      <c r="H82" s="70"/>
      <c r="I82" s="70"/>
      <c r="J82" s="58"/>
      <c r="K82" s="58"/>
      <c r="L82" s="58"/>
      <c r="M82" s="58"/>
      <c r="N82" s="58"/>
      <c r="P82" s="104"/>
      <c r="Q82" s="97"/>
      <c r="R82" s="58"/>
      <c r="S82" s="58"/>
      <c r="T82" s="58"/>
      <c r="U82" s="58"/>
      <c r="V82" s="58"/>
      <c r="W82" s="58"/>
      <c r="X82" s="58"/>
      <c r="Y82" s="58"/>
      <c r="Z82" s="58"/>
    </row>
    <row r="83" spans="2:26" ht="18" customHeight="1" x14ac:dyDescent="0.25">
      <c r="B83" s="21">
        <f t="shared" si="5"/>
        <v>2701</v>
      </c>
      <c r="D83" s="76" t="s">
        <v>343</v>
      </c>
      <c r="E83" s="65" t="s">
        <v>347</v>
      </c>
      <c r="F83" s="57"/>
      <c r="G83" s="57"/>
      <c r="H83" s="68"/>
      <c r="I83" s="68"/>
      <c r="J83" s="57"/>
      <c r="K83" s="57"/>
      <c r="L83" s="57"/>
      <c r="M83" s="57"/>
      <c r="N83" s="57"/>
      <c r="P83" s="102" t="s">
        <v>361</v>
      </c>
      <c r="Q83" s="96"/>
      <c r="R83" s="57"/>
      <c r="S83" s="57"/>
      <c r="T83" s="57"/>
      <c r="U83" s="57"/>
      <c r="V83" s="57"/>
      <c r="W83" s="57"/>
      <c r="X83" s="57"/>
      <c r="Y83" s="57"/>
      <c r="Z83" s="57"/>
    </row>
    <row r="84" spans="2:26" ht="18" customHeight="1" x14ac:dyDescent="0.25">
      <c r="B84" s="21">
        <f t="shared" si="4"/>
        <v>2702</v>
      </c>
      <c r="D84" s="77"/>
      <c r="E84" s="66"/>
      <c r="F84" s="58"/>
      <c r="G84" s="58"/>
      <c r="H84" s="69"/>
      <c r="I84" s="69"/>
      <c r="J84" s="58"/>
      <c r="K84" s="58"/>
      <c r="L84" s="58"/>
      <c r="M84" s="58"/>
      <c r="N84" s="58"/>
      <c r="P84" s="103"/>
      <c r="Q84" s="97"/>
      <c r="R84" s="58"/>
      <c r="S84" s="58"/>
      <c r="T84" s="58"/>
      <c r="U84" s="58"/>
      <c r="V84" s="58"/>
      <c r="W84" s="58"/>
      <c r="X84" s="58"/>
      <c r="Y84" s="58"/>
      <c r="Z84" s="58"/>
    </row>
    <row r="85" spans="2:26" ht="18" customHeight="1" x14ac:dyDescent="0.25">
      <c r="B85" s="21">
        <f t="shared" si="4"/>
        <v>2703</v>
      </c>
      <c r="D85" s="78"/>
      <c r="E85" s="67"/>
      <c r="F85" s="58"/>
      <c r="G85" s="58"/>
      <c r="H85" s="70"/>
      <c r="I85" s="70"/>
      <c r="J85" s="58"/>
      <c r="K85" s="58"/>
      <c r="L85" s="58"/>
      <c r="M85" s="58"/>
      <c r="N85" s="58"/>
      <c r="P85" s="104"/>
      <c r="Q85" s="97"/>
      <c r="R85" s="58"/>
      <c r="S85" s="58"/>
      <c r="T85" s="58"/>
      <c r="U85" s="58"/>
      <c r="V85" s="58"/>
      <c r="W85" s="58"/>
      <c r="X85" s="58"/>
      <c r="Y85" s="58"/>
      <c r="Z85" s="58"/>
    </row>
    <row r="86" spans="2:26" ht="18" customHeight="1" x14ac:dyDescent="0.25">
      <c r="B86" s="21">
        <f t="shared" si="5"/>
        <v>2801</v>
      </c>
      <c r="D86" s="76" t="s">
        <v>343</v>
      </c>
      <c r="E86" s="62"/>
      <c r="F86" s="57"/>
      <c r="G86" s="57"/>
      <c r="H86" s="68"/>
      <c r="I86" s="68"/>
      <c r="J86" s="57"/>
      <c r="K86" s="57"/>
      <c r="L86" s="57"/>
      <c r="M86" s="57"/>
      <c r="N86" s="57"/>
      <c r="P86" s="102" t="s">
        <v>361</v>
      </c>
      <c r="Q86" s="96"/>
      <c r="R86" s="57"/>
      <c r="S86" s="57"/>
      <c r="T86" s="57"/>
      <c r="U86" s="57"/>
      <c r="V86" s="57"/>
      <c r="W86" s="57"/>
      <c r="X86" s="57"/>
      <c r="Y86" s="57"/>
      <c r="Z86" s="57"/>
    </row>
    <row r="87" spans="2:26" ht="18" customHeight="1" x14ac:dyDescent="0.25">
      <c r="B87" s="21">
        <f t="shared" si="4"/>
        <v>2802</v>
      </c>
      <c r="D87" s="77"/>
      <c r="E87" s="63"/>
      <c r="F87" s="58"/>
      <c r="G87" s="58"/>
      <c r="H87" s="69"/>
      <c r="I87" s="69"/>
      <c r="J87" s="58"/>
      <c r="K87" s="58"/>
      <c r="L87" s="58"/>
      <c r="M87" s="58"/>
      <c r="N87" s="58"/>
      <c r="P87" s="103"/>
      <c r="Q87" s="97"/>
      <c r="R87" s="58"/>
      <c r="S87" s="58"/>
      <c r="T87" s="58"/>
      <c r="U87" s="58"/>
      <c r="V87" s="58"/>
      <c r="W87" s="58"/>
      <c r="X87" s="58"/>
      <c r="Y87" s="58"/>
      <c r="Z87" s="58"/>
    </row>
    <row r="88" spans="2:26" ht="18" customHeight="1" x14ac:dyDescent="0.25">
      <c r="B88" s="21">
        <f t="shared" si="4"/>
        <v>2803</v>
      </c>
      <c r="D88" s="78"/>
      <c r="E88" s="64"/>
      <c r="F88" s="58"/>
      <c r="G88" s="58"/>
      <c r="H88" s="70"/>
      <c r="I88" s="70"/>
      <c r="J88" s="58"/>
      <c r="K88" s="58"/>
      <c r="L88" s="58"/>
      <c r="M88" s="58"/>
      <c r="N88" s="58"/>
      <c r="P88" s="104"/>
      <c r="Q88" s="97"/>
      <c r="R88" s="58"/>
      <c r="S88" s="58"/>
      <c r="T88" s="58"/>
      <c r="U88" s="58"/>
      <c r="V88" s="58"/>
      <c r="W88" s="58"/>
      <c r="X88" s="58"/>
      <c r="Y88" s="58"/>
      <c r="Z88" s="58"/>
    </row>
    <row r="89" spans="2:26" ht="18" customHeight="1" x14ac:dyDescent="0.25">
      <c r="B89" s="21">
        <f t="shared" si="5"/>
        <v>2901</v>
      </c>
      <c r="D89" s="76" t="s">
        <v>343</v>
      </c>
      <c r="E89" s="62"/>
      <c r="F89" s="57"/>
      <c r="G89" s="57"/>
      <c r="H89" s="68"/>
      <c r="I89" s="68"/>
      <c r="J89" s="57"/>
      <c r="K89" s="57"/>
      <c r="L89" s="57"/>
      <c r="M89" s="57"/>
      <c r="N89" s="57"/>
      <c r="P89" s="100">
        <v>46055</v>
      </c>
      <c r="Q89" s="96"/>
      <c r="R89" s="57"/>
      <c r="S89" s="57"/>
      <c r="T89" s="57"/>
      <c r="U89" s="57"/>
      <c r="V89" s="57"/>
      <c r="W89" s="57"/>
      <c r="X89" s="57"/>
      <c r="Y89" s="57"/>
      <c r="Z89" s="57"/>
    </row>
    <row r="90" spans="2:26" ht="18" customHeight="1" x14ac:dyDescent="0.25">
      <c r="B90" s="21">
        <f t="shared" si="4"/>
        <v>2902</v>
      </c>
      <c r="D90" s="77"/>
      <c r="E90" s="63"/>
      <c r="F90" s="58"/>
      <c r="G90" s="58"/>
      <c r="H90" s="69"/>
      <c r="I90" s="69"/>
      <c r="J90" s="58"/>
      <c r="K90" s="58"/>
      <c r="L90" s="58"/>
      <c r="M90" s="58"/>
      <c r="N90" s="58"/>
      <c r="P90" s="101"/>
      <c r="Q90" s="97"/>
      <c r="R90" s="58"/>
      <c r="S90" s="58"/>
      <c r="T90" s="58"/>
      <c r="U90" s="58"/>
      <c r="V90" s="58"/>
      <c r="W90" s="58"/>
      <c r="X90" s="58"/>
      <c r="Y90" s="58"/>
      <c r="Z90" s="58"/>
    </row>
    <row r="91" spans="2:26" ht="18" customHeight="1" x14ac:dyDescent="0.25">
      <c r="B91" s="21">
        <f t="shared" si="4"/>
        <v>2903</v>
      </c>
      <c r="D91" s="78"/>
      <c r="E91" s="64"/>
      <c r="F91" s="58"/>
      <c r="G91" s="58"/>
      <c r="H91" s="70"/>
      <c r="I91" s="70"/>
      <c r="J91" s="58"/>
      <c r="K91" s="58"/>
      <c r="L91" s="58"/>
      <c r="M91" s="58"/>
      <c r="N91" s="58"/>
      <c r="P91" s="101"/>
      <c r="Q91" s="97"/>
      <c r="R91" s="58"/>
      <c r="S91" s="58"/>
      <c r="T91" s="58"/>
      <c r="U91" s="58"/>
      <c r="V91" s="58"/>
      <c r="W91" s="58"/>
      <c r="X91" s="58"/>
      <c r="Y91" s="58"/>
      <c r="Z91" s="58"/>
    </row>
    <row r="92" spans="2:26" ht="18" customHeight="1" x14ac:dyDescent="0.25">
      <c r="B92" s="21">
        <f t="shared" si="5"/>
        <v>3001</v>
      </c>
      <c r="D92" s="76" t="s">
        <v>343</v>
      </c>
      <c r="E92" s="62"/>
      <c r="F92" s="57"/>
      <c r="G92" s="57"/>
      <c r="H92" s="68"/>
      <c r="I92" s="68"/>
      <c r="J92" s="57"/>
      <c r="K92" s="59"/>
      <c r="L92" s="59"/>
      <c r="M92" s="59"/>
      <c r="N92" s="59"/>
      <c r="P92" s="105">
        <v>46055</v>
      </c>
      <c r="Q92" s="59"/>
      <c r="R92" s="57"/>
      <c r="S92" s="57"/>
      <c r="T92" s="57"/>
      <c r="U92" s="57"/>
      <c r="V92" s="57"/>
      <c r="W92" s="57"/>
      <c r="X92" s="57"/>
      <c r="Y92" s="57"/>
      <c r="Z92" s="57"/>
    </row>
    <row r="93" spans="2:26" ht="18" customHeight="1" x14ac:dyDescent="0.25">
      <c r="B93" s="21">
        <f t="shared" si="4"/>
        <v>3002</v>
      </c>
      <c r="D93" s="77"/>
      <c r="E93" s="63"/>
      <c r="F93" s="58"/>
      <c r="G93" s="58"/>
      <c r="H93" s="69"/>
      <c r="I93" s="69"/>
      <c r="J93" s="58"/>
      <c r="K93" s="60"/>
      <c r="L93" s="60"/>
      <c r="M93" s="60"/>
      <c r="N93" s="60"/>
      <c r="P93" s="106"/>
      <c r="Q93" s="60"/>
      <c r="R93" s="58"/>
      <c r="S93" s="58"/>
      <c r="T93" s="58"/>
      <c r="U93" s="58"/>
      <c r="V93" s="58"/>
      <c r="W93" s="58"/>
      <c r="X93" s="58"/>
      <c r="Y93" s="58"/>
      <c r="Z93" s="58"/>
    </row>
    <row r="94" spans="2:26" ht="18" customHeight="1" x14ac:dyDescent="0.25">
      <c r="B94" s="21">
        <f t="shared" si="4"/>
        <v>3003</v>
      </c>
      <c r="D94" s="78"/>
      <c r="E94" s="64"/>
      <c r="F94" s="58"/>
      <c r="G94" s="58"/>
      <c r="H94" s="70"/>
      <c r="I94" s="70"/>
      <c r="J94" s="58"/>
      <c r="K94" s="61"/>
      <c r="L94" s="61"/>
      <c r="M94" s="61"/>
      <c r="N94" s="61"/>
      <c r="P94" s="107"/>
      <c r="Q94" s="61"/>
      <c r="R94" s="58"/>
      <c r="S94" s="58"/>
      <c r="T94" s="58"/>
      <c r="U94" s="58"/>
      <c r="V94" s="58"/>
      <c r="W94" s="58"/>
      <c r="X94" s="58"/>
      <c r="Y94" s="58"/>
      <c r="Z94" s="58"/>
    </row>
    <row r="95" spans="2:26" ht="18" customHeight="1" x14ac:dyDescent="0.25">
      <c r="B95" s="21">
        <f t="shared" si="5"/>
        <v>3101</v>
      </c>
      <c r="D95" s="76" t="s">
        <v>343</v>
      </c>
      <c r="E95" s="62"/>
      <c r="F95" s="57"/>
      <c r="G95" s="57"/>
      <c r="H95" s="68"/>
      <c r="I95" s="68"/>
      <c r="J95" s="57"/>
      <c r="K95" s="57"/>
      <c r="L95" s="57"/>
      <c r="M95" s="57"/>
      <c r="N95" s="57"/>
      <c r="P95" s="100">
        <v>46055</v>
      </c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2:26" ht="18" customHeight="1" x14ac:dyDescent="0.25">
      <c r="B96" s="21">
        <f t="shared" si="4"/>
        <v>3102</v>
      </c>
      <c r="D96" s="77"/>
      <c r="E96" s="63"/>
      <c r="F96" s="58"/>
      <c r="G96" s="58"/>
      <c r="H96" s="69"/>
      <c r="I96" s="69"/>
      <c r="J96" s="58"/>
      <c r="K96" s="58"/>
      <c r="L96" s="58"/>
      <c r="M96" s="58"/>
      <c r="N96" s="58"/>
      <c r="P96" s="101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2:26" ht="18" customHeight="1" x14ac:dyDescent="0.25">
      <c r="B97" s="21">
        <f t="shared" si="4"/>
        <v>3103</v>
      </c>
      <c r="D97" s="78"/>
      <c r="E97" s="64"/>
      <c r="F97" s="58"/>
      <c r="G97" s="58"/>
      <c r="H97" s="70"/>
      <c r="I97" s="70"/>
      <c r="J97" s="58"/>
      <c r="K97" s="58"/>
      <c r="L97" s="58"/>
      <c r="M97" s="58"/>
      <c r="N97" s="58"/>
      <c r="P97" s="101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2:26" ht="18" customHeight="1" x14ac:dyDescent="0.25">
      <c r="B98" s="21">
        <f t="shared" si="5"/>
        <v>3201</v>
      </c>
      <c r="D98" s="76" t="s">
        <v>343</v>
      </c>
      <c r="E98" s="62"/>
      <c r="F98" s="57"/>
      <c r="G98" s="57"/>
      <c r="H98" s="68"/>
      <c r="I98" s="68"/>
      <c r="J98" s="57"/>
      <c r="K98" s="57"/>
      <c r="L98" s="57"/>
      <c r="M98" s="57"/>
      <c r="N98" s="57"/>
      <c r="P98" s="96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2:26" ht="18" customHeight="1" x14ac:dyDescent="0.25">
      <c r="B99" s="21">
        <f t="shared" si="4"/>
        <v>3202</v>
      </c>
      <c r="D99" s="77"/>
      <c r="E99" s="63"/>
      <c r="F99" s="58"/>
      <c r="G99" s="58"/>
      <c r="H99" s="69"/>
      <c r="I99" s="69"/>
      <c r="J99" s="58"/>
      <c r="K99" s="58"/>
      <c r="L99" s="58"/>
      <c r="M99" s="58"/>
      <c r="N99" s="58"/>
      <c r="P99" s="97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2:26" ht="18" customHeight="1" thickBot="1" x14ac:dyDescent="0.3">
      <c r="B100" s="22">
        <f t="shared" si="4"/>
        <v>3203</v>
      </c>
      <c r="D100" s="78"/>
      <c r="E100" s="64"/>
      <c r="F100" s="58"/>
      <c r="G100" s="58"/>
      <c r="H100" s="70"/>
      <c r="I100" s="70"/>
      <c r="J100" s="58"/>
      <c r="K100" s="58"/>
      <c r="L100" s="58"/>
      <c r="M100" s="58"/>
      <c r="N100" s="58"/>
      <c r="P100" s="97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2:26" x14ac:dyDescent="0.25">
      <c r="D101" s="53"/>
      <c r="F101" s="17"/>
      <c r="G101" s="17"/>
      <c r="J101" s="17"/>
      <c r="K101" s="17"/>
      <c r="L101" s="17"/>
      <c r="M101" s="17"/>
      <c r="N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2:26" x14ac:dyDescent="0.25">
      <c r="F102" s="17"/>
      <c r="G102" s="17"/>
      <c r="J102" s="17"/>
      <c r="K102" s="17"/>
      <c r="L102" s="17"/>
      <c r="M102" s="17"/>
      <c r="N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2:26" x14ac:dyDescent="0.25">
      <c r="F103" s="17"/>
      <c r="G103" s="17"/>
      <c r="J103" s="17"/>
      <c r="R103" s="17"/>
      <c r="S103" s="17"/>
      <c r="T103" s="17"/>
      <c r="U103" s="17"/>
      <c r="V103" s="17"/>
      <c r="W103" s="17"/>
      <c r="X103" s="17"/>
      <c r="Y103" s="17"/>
      <c r="Z103" s="17"/>
    </row>
  </sheetData>
  <mergeCells count="713">
    <mergeCell ref="R3:V3"/>
    <mergeCell ref="W3:Z3"/>
    <mergeCell ref="D2:N2"/>
    <mergeCell ref="P2:Z2"/>
    <mergeCell ref="B2:B4"/>
    <mergeCell ref="F3:J3"/>
    <mergeCell ref="K3:N3"/>
    <mergeCell ref="D3:E3"/>
    <mergeCell ref="P3:Q3"/>
    <mergeCell ref="I20:I22"/>
    <mergeCell ref="I23:I25"/>
    <mergeCell ref="I26:I28"/>
    <mergeCell ref="I29:I31"/>
    <mergeCell ref="I32:I34"/>
    <mergeCell ref="I8:I10"/>
    <mergeCell ref="I5:I7"/>
    <mergeCell ref="I11:I13"/>
    <mergeCell ref="I14:I16"/>
    <mergeCell ref="I17:I19"/>
    <mergeCell ref="I74:I76"/>
    <mergeCell ref="I77:I79"/>
    <mergeCell ref="I50:I52"/>
    <mergeCell ref="I53:I55"/>
    <mergeCell ref="I56:I58"/>
    <mergeCell ref="I59:I61"/>
    <mergeCell ref="I62:I64"/>
    <mergeCell ref="I35:I37"/>
    <mergeCell ref="I38:I40"/>
    <mergeCell ref="I41:I43"/>
    <mergeCell ref="I44:I46"/>
    <mergeCell ref="I47:I49"/>
    <mergeCell ref="I95:I97"/>
    <mergeCell ref="I98:I100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I80:I82"/>
    <mergeCell ref="I83:I85"/>
    <mergeCell ref="I86:I88"/>
    <mergeCell ref="I89:I91"/>
    <mergeCell ref="I92:I94"/>
    <mergeCell ref="I65:I67"/>
    <mergeCell ref="I68:I70"/>
    <mergeCell ref="I71:I73"/>
    <mergeCell ref="D98:D100"/>
    <mergeCell ref="H5:H7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H41:H43"/>
    <mergeCell ref="D77:D79"/>
    <mergeCell ref="D80:D82"/>
    <mergeCell ref="D83:D85"/>
    <mergeCell ref="D86:D88"/>
    <mergeCell ref="D89:D91"/>
    <mergeCell ref="D62:D64"/>
    <mergeCell ref="D65:D67"/>
    <mergeCell ref="D68:D70"/>
    <mergeCell ref="D71:D73"/>
    <mergeCell ref="D74:D76"/>
    <mergeCell ref="H68:H70"/>
    <mergeCell ref="H71:H73"/>
    <mergeCell ref="H44:H46"/>
    <mergeCell ref="H47:H49"/>
    <mergeCell ref="H50:H52"/>
    <mergeCell ref="H53:H55"/>
    <mergeCell ref="H56:H58"/>
    <mergeCell ref="D92:D94"/>
    <mergeCell ref="D95:D97"/>
    <mergeCell ref="D47:D49"/>
    <mergeCell ref="D50:D52"/>
    <mergeCell ref="D53:D55"/>
    <mergeCell ref="D56:D58"/>
    <mergeCell ref="D59:D61"/>
    <mergeCell ref="H89:H91"/>
    <mergeCell ref="H92:H94"/>
    <mergeCell ref="H95:H97"/>
    <mergeCell ref="H98:H100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H74:H76"/>
    <mergeCell ref="H77:H79"/>
    <mergeCell ref="H80:H82"/>
    <mergeCell ref="H83:H85"/>
    <mergeCell ref="H86:H88"/>
    <mergeCell ref="H59:H61"/>
    <mergeCell ref="H62:H64"/>
    <mergeCell ref="H65:H67"/>
    <mergeCell ref="P5:P7"/>
    <mergeCell ref="P8:P10"/>
    <mergeCell ref="P11:P13"/>
    <mergeCell ref="P14:P16"/>
    <mergeCell ref="E86:E88"/>
    <mergeCell ref="E89:E91"/>
    <mergeCell ref="E92:E94"/>
    <mergeCell ref="E95:E97"/>
    <mergeCell ref="E98:E100"/>
    <mergeCell ref="E71:E73"/>
    <mergeCell ref="E74:E76"/>
    <mergeCell ref="E77:E79"/>
    <mergeCell ref="E80:E82"/>
    <mergeCell ref="E83:E85"/>
    <mergeCell ref="E56:E58"/>
    <mergeCell ref="E59:E61"/>
    <mergeCell ref="E62:E64"/>
    <mergeCell ref="E65:E67"/>
    <mergeCell ref="E68:E70"/>
    <mergeCell ref="E41:E43"/>
    <mergeCell ref="E44:E46"/>
    <mergeCell ref="E47:E49"/>
    <mergeCell ref="E50:E52"/>
    <mergeCell ref="E53:E55"/>
    <mergeCell ref="P32:P34"/>
    <mergeCell ref="P35:P37"/>
    <mergeCell ref="P38:P40"/>
    <mergeCell ref="P41:P43"/>
    <mergeCell ref="P44:P46"/>
    <mergeCell ref="P17:P19"/>
    <mergeCell ref="P20:P22"/>
    <mergeCell ref="P23:P25"/>
    <mergeCell ref="P26:P28"/>
    <mergeCell ref="P29:P31"/>
    <mergeCell ref="P98:P100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P77:P79"/>
    <mergeCell ref="P80:P82"/>
    <mergeCell ref="P83:P85"/>
    <mergeCell ref="P86:P88"/>
    <mergeCell ref="P89:P91"/>
    <mergeCell ref="P62:P64"/>
    <mergeCell ref="P65:P67"/>
    <mergeCell ref="P68:P70"/>
    <mergeCell ref="P71:P73"/>
    <mergeCell ref="P74:P76"/>
    <mergeCell ref="Q68:Q70"/>
    <mergeCell ref="Q71:Q73"/>
    <mergeCell ref="Q44:Q46"/>
    <mergeCell ref="Q47:Q49"/>
    <mergeCell ref="Q50:Q52"/>
    <mergeCell ref="Q53:Q55"/>
    <mergeCell ref="Q56:Q58"/>
    <mergeCell ref="P92:P94"/>
    <mergeCell ref="P95:P97"/>
    <mergeCell ref="P47:P49"/>
    <mergeCell ref="P50:P52"/>
    <mergeCell ref="P53:P55"/>
    <mergeCell ref="P56:P58"/>
    <mergeCell ref="P59:P61"/>
    <mergeCell ref="Q89:Q91"/>
    <mergeCell ref="Q92:Q94"/>
    <mergeCell ref="Q95:Q97"/>
    <mergeCell ref="Q98:Q100"/>
    <mergeCell ref="R5:R7"/>
    <mergeCell ref="R8:R10"/>
    <mergeCell ref="R11:R13"/>
    <mergeCell ref="R14:R16"/>
    <mergeCell ref="R17:R19"/>
    <mergeCell ref="R20:R22"/>
    <mergeCell ref="R23:R25"/>
    <mergeCell ref="R26:R28"/>
    <mergeCell ref="R29:R31"/>
    <mergeCell ref="R32:R34"/>
    <mergeCell ref="R35:R37"/>
    <mergeCell ref="R38:R40"/>
    <mergeCell ref="Q74:Q76"/>
    <mergeCell ref="Q77:Q79"/>
    <mergeCell ref="Q80:Q82"/>
    <mergeCell ref="Q83:Q85"/>
    <mergeCell ref="Q86:Q88"/>
    <mergeCell ref="Q59:Q61"/>
    <mergeCell ref="Q62:Q64"/>
    <mergeCell ref="Q65:Q67"/>
    <mergeCell ref="R56:R58"/>
    <mergeCell ref="R59:R61"/>
    <mergeCell ref="R62:R64"/>
    <mergeCell ref="R65:R67"/>
    <mergeCell ref="R68:R70"/>
    <mergeCell ref="R41:R43"/>
    <mergeCell ref="R44:R46"/>
    <mergeCell ref="R47:R49"/>
    <mergeCell ref="R50:R52"/>
    <mergeCell ref="R53:R55"/>
    <mergeCell ref="R86:R88"/>
    <mergeCell ref="R89:R91"/>
    <mergeCell ref="R92:R94"/>
    <mergeCell ref="R95:R97"/>
    <mergeCell ref="R98:R100"/>
    <mergeCell ref="R71:R73"/>
    <mergeCell ref="R74:R76"/>
    <mergeCell ref="R77:R79"/>
    <mergeCell ref="R80:R82"/>
    <mergeCell ref="R83:R85"/>
    <mergeCell ref="S20:S22"/>
    <mergeCell ref="S23:S25"/>
    <mergeCell ref="S26:S28"/>
    <mergeCell ref="S29:S31"/>
    <mergeCell ref="S32:S34"/>
    <mergeCell ref="S5:S7"/>
    <mergeCell ref="S8:S10"/>
    <mergeCell ref="S11:S13"/>
    <mergeCell ref="S14:S16"/>
    <mergeCell ref="S17:S19"/>
    <mergeCell ref="S74:S76"/>
    <mergeCell ref="S77:S79"/>
    <mergeCell ref="S50:S52"/>
    <mergeCell ref="S53:S55"/>
    <mergeCell ref="S56:S58"/>
    <mergeCell ref="S59:S61"/>
    <mergeCell ref="S62:S64"/>
    <mergeCell ref="S35:S37"/>
    <mergeCell ref="S38:S40"/>
    <mergeCell ref="S41:S43"/>
    <mergeCell ref="S44:S46"/>
    <mergeCell ref="S47:S49"/>
    <mergeCell ref="S95:S97"/>
    <mergeCell ref="S98:S100"/>
    <mergeCell ref="T5:T7"/>
    <mergeCell ref="T8:T10"/>
    <mergeCell ref="T11:T13"/>
    <mergeCell ref="T14:T16"/>
    <mergeCell ref="T17:T19"/>
    <mergeCell ref="T20:T22"/>
    <mergeCell ref="T23:T25"/>
    <mergeCell ref="T26:T28"/>
    <mergeCell ref="T29:T31"/>
    <mergeCell ref="T32:T34"/>
    <mergeCell ref="T35:T37"/>
    <mergeCell ref="T38:T40"/>
    <mergeCell ref="T41:T43"/>
    <mergeCell ref="T44:T46"/>
    <mergeCell ref="S80:S82"/>
    <mergeCell ref="S83:S85"/>
    <mergeCell ref="S86:S88"/>
    <mergeCell ref="S89:S91"/>
    <mergeCell ref="S92:S94"/>
    <mergeCell ref="S65:S67"/>
    <mergeCell ref="S68:S70"/>
    <mergeCell ref="S71:S73"/>
    <mergeCell ref="T98:T100"/>
    <mergeCell ref="U5:U7"/>
    <mergeCell ref="U8:U10"/>
    <mergeCell ref="U11:U13"/>
    <mergeCell ref="U14:U16"/>
    <mergeCell ref="U17:U19"/>
    <mergeCell ref="U20:U22"/>
    <mergeCell ref="U23:U25"/>
    <mergeCell ref="U26:U28"/>
    <mergeCell ref="U29:U31"/>
    <mergeCell ref="U32:U34"/>
    <mergeCell ref="U35:U37"/>
    <mergeCell ref="U38:U40"/>
    <mergeCell ref="U41:U43"/>
    <mergeCell ref="T77:T79"/>
    <mergeCell ref="T80:T82"/>
    <mergeCell ref="T83:T85"/>
    <mergeCell ref="T86:T88"/>
    <mergeCell ref="T89:T91"/>
    <mergeCell ref="T62:T64"/>
    <mergeCell ref="T65:T67"/>
    <mergeCell ref="T68:T70"/>
    <mergeCell ref="T71:T73"/>
    <mergeCell ref="T74:T76"/>
    <mergeCell ref="U68:U70"/>
    <mergeCell ref="U71:U73"/>
    <mergeCell ref="U44:U46"/>
    <mergeCell ref="U47:U49"/>
    <mergeCell ref="U50:U52"/>
    <mergeCell ref="U53:U55"/>
    <mergeCell ref="U56:U58"/>
    <mergeCell ref="T92:T94"/>
    <mergeCell ref="T95:T97"/>
    <mergeCell ref="T47:T49"/>
    <mergeCell ref="T50:T52"/>
    <mergeCell ref="T53:T55"/>
    <mergeCell ref="T56:T58"/>
    <mergeCell ref="T59:T61"/>
    <mergeCell ref="U89:U91"/>
    <mergeCell ref="U92:U94"/>
    <mergeCell ref="U95:U97"/>
    <mergeCell ref="U98:U100"/>
    <mergeCell ref="V5:V7"/>
    <mergeCell ref="V8:V10"/>
    <mergeCell ref="V11:V13"/>
    <mergeCell ref="V14:V16"/>
    <mergeCell ref="V17:V19"/>
    <mergeCell ref="V20:V22"/>
    <mergeCell ref="V23:V25"/>
    <mergeCell ref="V26:V28"/>
    <mergeCell ref="V29:V31"/>
    <mergeCell ref="V32:V34"/>
    <mergeCell ref="V35:V37"/>
    <mergeCell ref="V38:V40"/>
    <mergeCell ref="U74:U76"/>
    <mergeCell ref="U77:U79"/>
    <mergeCell ref="U80:U82"/>
    <mergeCell ref="U83:U85"/>
    <mergeCell ref="U86:U88"/>
    <mergeCell ref="U59:U61"/>
    <mergeCell ref="U62:U64"/>
    <mergeCell ref="U65:U67"/>
    <mergeCell ref="V56:V58"/>
    <mergeCell ref="V59:V61"/>
    <mergeCell ref="V62:V64"/>
    <mergeCell ref="V65:V67"/>
    <mergeCell ref="V68:V70"/>
    <mergeCell ref="V41:V43"/>
    <mergeCell ref="V44:V46"/>
    <mergeCell ref="V47:V49"/>
    <mergeCell ref="V50:V52"/>
    <mergeCell ref="V53:V55"/>
    <mergeCell ref="V86:V88"/>
    <mergeCell ref="V89:V91"/>
    <mergeCell ref="V92:V94"/>
    <mergeCell ref="V95:V97"/>
    <mergeCell ref="V98:V100"/>
    <mergeCell ref="V71:V73"/>
    <mergeCell ref="V74:V76"/>
    <mergeCell ref="V77:V79"/>
    <mergeCell ref="V80:V82"/>
    <mergeCell ref="V83:V85"/>
    <mergeCell ref="W20:W22"/>
    <mergeCell ref="W23:W25"/>
    <mergeCell ref="W26:W28"/>
    <mergeCell ref="W29:W31"/>
    <mergeCell ref="W32:W34"/>
    <mergeCell ref="W5:W7"/>
    <mergeCell ref="W8:W10"/>
    <mergeCell ref="W11:W13"/>
    <mergeCell ref="W14:W16"/>
    <mergeCell ref="W17:W19"/>
    <mergeCell ref="W74:W76"/>
    <mergeCell ref="W77:W79"/>
    <mergeCell ref="W50:W52"/>
    <mergeCell ref="W53:W55"/>
    <mergeCell ref="W56:W58"/>
    <mergeCell ref="W59:W61"/>
    <mergeCell ref="W62:W64"/>
    <mergeCell ref="W35:W37"/>
    <mergeCell ref="W38:W40"/>
    <mergeCell ref="W41:W43"/>
    <mergeCell ref="W44:W46"/>
    <mergeCell ref="W47:W49"/>
    <mergeCell ref="W95:W97"/>
    <mergeCell ref="W98:W100"/>
    <mergeCell ref="X5:X7"/>
    <mergeCell ref="X8:X10"/>
    <mergeCell ref="X11:X13"/>
    <mergeCell ref="X14:X16"/>
    <mergeCell ref="X17:X19"/>
    <mergeCell ref="X20:X22"/>
    <mergeCell ref="X23:X25"/>
    <mergeCell ref="X26:X28"/>
    <mergeCell ref="X29:X31"/>
    <mergeCell ref="X32:X34"/>
    <mergeCell ref="X35:X37"/>
    <mergeCell ref="X38:X40"/>
    <mergeCell ref="X41:X43"/>
    <mergeCell ref="X44:X46"/>
    <mergeCell ref="W80:W82"/>
    <mergeCell ref="W83:W85"/>
    <mergeCell ref="W86:W88"/>
    <mergeCell ref="W89:W91"/>
    <mergeCell ref="W92:W94"/>
    <mergeCell ref="W65:W67"/>
    <mergeCell ref="W68:W70"/>
    <mergeCell ref="W71:W73"/>
    <mergeCell ref="X98:X100"/>
    <mergeCell ref="Y5:Y7"/>
    <mergeCell ref="Y8:Y10"/>
    <mergeCell ref="Y11:Y13"/>
    <mergeCell ref="Y14:Y16"/>
    <mergeCell ref="Y17:Y19"/>
    <mergeCell ref="Y20:Y22"/>
    <mergeCell ref="Y23:Y25"/>
    <mergeCell ref="Y26:Y28"/>
    <mergeCell ref="Y29:Y31"/>
    <mergeCell ref="Y32:Y34"/>
    <mergeCell ref="Y35:Y37"/>
    <mergeCell ref="Y38:Y40"/>
    <mergeCell ref="Y41:Y43"/>
    <mergeCell ref="X77:X79"/>
    <mergeCell ref="X80:X82"/>
    <mergeCell ref="X83:X85"/>
    <mergeCell ref="X86:X88"/>
    <mergeCell ref="X89:X91"/>
    <mergeCell ref="X62:X64"/>
    <mergeCell ref="X65:X67"/>
    <mergeCell ref="X68:X70"/>
    <mergeCell ref="X71:X73"/>
    <mergeCell ref="X74:X76"/>
    <mergeCell ref="Y68:Y70"/>
    <mergeCell ref="Y71:Y73"/>
    <mergeCell ref="Y44:Y46"/>
    <mergeCell ref="Y47:Y49"/>
    <mergeCell ref="Y50:Y52"/>
    <mergeCell ref="Y53:Y55"/>
    <mergeCell ref="Y56:Y58"/>
    <mergeCell ref="X92:X94"/>
    <mergeCell ref="X95:X97"/>
    <mergeCell ref="X47:X49"/>
    <mergeCell ref="X50:X52"/>
    <mergeCell ref="X53:X55"/>
    <mergeCell ref="X56:X58"/>
    <mergeCell ref="X59:X61"/>
    <mergeCell ref="Y89:Y91"/>
    <mergeCell ref="Y92:Y94"/>
    <mergeCell ref="Y95:Y97"/>
    <mergeCell ref="Y98:Y100"/>
    <mergeCell ref="Z5:Z7"/>
    <mergeCell ref="Z8:Z10"/>
    <mergeCell ref="Z11:Z13"/>
    <mergeCell ref="Z14:Z16"/>
    <mergeCell ref="Z17:Z19"/>
    <mergeCell ref="Z20:Z22"/>
    <mergeCell ref="Z23:Z25"/>
    <mergeCell ref="Z26:Z28"/>
    <mergeCell ref="Z29:Z31"/>
    <mergeCell ref="Z32:Z34"/>
    <mergeCell ref="Z35:Z37"/>
    <mergeCell ref="Z38:Z40"/>
    <mergeCell ref="Y74:Y76"/>
    <mergeCell ref="Y77:Y79"/>
    <mergeCell ref="Y80:Y82"/>
    <mergeCell ref="Y83:Y85"/>
    <mergeCell ref="Y86:Y88"/>
    <mergeCell ref="Y59:Y61"/>
    <mergeCell ref="Y62:Y64"/>
    <mergeCell ref="Y65:Y67"/>
    <mergeCell ref="Z56:Z58"/>
    <mergeCell ref="Z59:Z61"/>
    <mergeCell ref="Z62:Z64"/>
    <mergeCell ref="Z65:Z67"/>
    <mergeCell ref="Z68:Z70"/>
    <mergeCell ref="Z41:Z43"/>
    <mergeCell ref="Z44:Z46"/>
    <mergeCell ref="Z47:Z49"/>
    <mergeCell ref="Z50:Z52"/>
    <mergeCell ref="Z53:Z55"/>
    <mergeCell ref="Z86:Z88"/>
    <mergeCell ref="Z89:Z91"/>
    <mergeCell ref="Z92:Z94"/>
    <mergeCell ref="Z95:Z97"/>
    <mergeCell ref="Z98:Z100"/>
    <mergeCell ref="Z71:Z73"/>
    <mergeCell ref="Z74:Z76"/>
    <mergeCell ref="Z77:Z79"/>
    <mergeCell ref="Z80:Z82"/>
    <mergeCell ref="Z83:Z85"/>
    <mergeCell ref="F20:F22"/>
    <mergeCell ref="F23:F25"/>
    <mergeCell ref="F26:F28"/>
    <mergeCell ref="F29:F31"/>
    <mergeCell ref="F32:F34"/>
    <mergeCell ref="F5:F7"/>
    <mergeCell ref="F8:F10"/>
    <mergeCell ref="F11:F13"/>
    <mergeCell ref="F14:F16"/>
    <mergeCell ref="F17:F19"/>
    <mergeCell ref="G32:G34"/>
    <mergeCell ref="G35:G37"/>
    <mergeCell ref="G38:G40"/>
    <mergeCell ref="G41:G43"/>
    <mergeCell ref="G44:G46"/>
    <mergeCell ref="F80:F82"/>
    <mergeCell ref="F83:F85"/>
    <mergeCell ref="F86:F88"/>
    <mergeCell ref="F89:F91"/>
    <mergeCell ref="F65:F67"/>
    <mergeCell ref="F68:F70"/>
    <mergeCell ref="F71:F73"/>
    <mergeCell ref="F74:F76"/>
    <mergeCell ref="F77:F79"/>
    <mergeCell ref="F50:F52"/>
    <mergeCell ref="F53:F55"/>
    <mergeCell ref="F56:F58"/>
    <mergeCell ref="F59:F61"/>
    <mergeCell ref="F62:F64"/>
    <mergeCell ref="F35:F37"/>
    <mergeCell ref="F38:F40"/>
    <mergeCell ref="F41:F43"/>
    <mergeCell ref="F44:F46"/>
    <mergeCell ref="F47:F49"/>
    <mergeCell ref="G5:G7"/>
    <mergeCell ref="G8:G10"/>
    <mergeCell ref="G11:G13"/>
    <mergeCell ref="G14:G16"/>
    <mergeCell ref="G17:G19"/>
    <mergeCell ref="G20:G22"/>
    <mergeCell ref="G23:G25"/>
    <mergeCell ref="G26:G28"/>
    <mergeCell ref="G29:G31"/>
    <mergeCell ref="G71:G73"/>
    <mergeCell ref="G74:G76"/>
    <mergeCell ref="G47:G49"/>
    <mergeCell ref="G50:G52"/>
    <mergeCell ref="G53:G55"/>
    <mergeCell ref="G56:G58"/>
    <mergeCell ref="G59:G61"/>
    <mergeCell ref="F95:F97"/>
    <mergeCell ref="F98:F100"/>
    <mergeCell ref="F92:F94"/>
    <mergeCell ref="G92:G94"/>
    <mergeCell ref="G95:G97"/>
    <mergeCell ref="G98:G100"/>
    <mergeCell ref="J5:J7"/>
    <mergeCell ref="J8:J10"/>
    <mergeCell ref="J11:J13"/>
    <mergeCell ref="J14:J16"/>
    <mergeCell ref="J17:J19"/>
    <mergeCell ref="J20:J22"/>
    <mergeCell ref="J23:J25"/>
    <mergeCell ref="J26:J28"/>
    <mergeCell ref="J29:J31"/>
    <mergeCell ref="J32:J34"/>
    <mergeCell ref="J35:J37"/>
    <mergeCell ref="J38:J40"/>
    <mergeCell ref="J41:J43"/>
    <mergeCell ref="G77:G79"/>
    <mergeCell ref="G80:G82"/>
    <mergeCell ref="G83:G85"/>
    <mergeCell ref="G86:G88"/>
    <mergeCell ref="G89:G91"/>
    <mergeCell ref="G62:G64"/>
    <mergeCell ref="G65:G67"/>
    <mergeCell ref="G68:G70"/>
    <mergeCell ref="J59:J61"/>
    <mergeCell ref="J62:J64"/>
    <mergeCell ref="J65:J67"/>
    <mergeCell ref="J68:J70"/>
    <mergeCell ref="J71:J73"/>
    <mergeCell ref="J44:J46"/>
    <mergeCell ref="J47:J49"/>
    <mergeCell ref="J50:J52"/>
    <mergeCell ref="J53:J55"/>
    <mergeCell ref="J56:J58"/>
    <mergeCell ref="J89:J91"/>
    <mergeCell ref="J92:J94"/>
    <mergeCell ref="J95:J97"/>
    <mergeCell ref="J98:J100"/>
    <mergeCell ref="J74:J76"/>
    <mergeCell ref="J77:J79"/>
    <mergeCell ref="J80:J82"/>
    <mergeCell ref="J83:J85"/>
    <mergeCell ref="J86:J88"/>
    <mergeCell ref="K98:K100"/>
    <mergeCell ref="K71:K73"/>
    <mergeCell ref="K74:K76"/>
    <mergeCell ref="K77:K79"/>
    <mergeCell ref="K80:K82"/>
    <mergeCell ref="K83:K85"/>
    <mergeCell ref="K56:K58"/>
    <mergeCell ref="K59:K61"/>
    <mergeCell ref="K62:K64"/>
    <mergeCell ref="K65:K67"/>
    <mergeCell ref="K68:K70"/>
    <mergeCell ref="K5:K7"/>
    <mergeCell ref="K8:K10"/>
    <mergeCell ref="K11:K13"/>
    <mergeCell ref="K14:K16"/>
    <mergeCell ref="K17:K19"/>
    <mergeCell ref="K86:K88"/>
    <mergeCell ref="K89:K91"/>
    <mergeCell ref="K92:K94"/>
    <mergeCell ref="K95:K97"/>
    <mergeCell ref="K50:K52"/>
    <mergeCell ref="K53:K55"/>
    <mergeCell ref="K35:K37"/>
    <mergeCell ref="K38:K40"/>
    <mergeCell ref="K41:K43"/>
    <mergeCell ref="K44:K46"/>
    <mergeCell ref="K47:K49"/>
    <mergeCell ref="K20:K22"/>
    <mergeCell ref="K23:K25"/>
    <mergeCell ref="K26:K28"/>
    <mergeCell ref="K29:K31"/>
    <mergeCell ref="K32:K34"/>
    <mergeCell ref="L20:L22"/>
    <mergeCell ref="L23:L25"/>
    <mergeCell ref="L26:L28"/>
    <mergeCell ref="L29:L31"/>
    <mergeCell ref="L32:L34"/>
    <mergeCell ref="L5:L7"/>
    <mergeCell ref="L8:L10"/>
    <mergeCell ref="L11:L13"/>
    <mergeCell ref="L14:L16"/>
    <mergeCell ref="L17:L19"/>
    <mergeCell ref="M32:M34"/>
    <mergeCell ref="M35:M37"/>
    <mergeCell ref="M38:M40"/>
    <mergeCell ref="M41:M43"/>
    <mergeCell ref="M44:M46"/>
    <mergeCell ref="L80:L82"/>
    <mergeCell ref="L83:L85"/>
    <mergeCell ref="L86:L88"/>
    <mergeCell ref="L89:L91"/>
    <mergeCell ref="L65:L67"/>
    <mergeCell ref="L68:L70"/>
    <mergeCell ref="L71:L73"/>
    <mergeCell ref="L74:L76"/>
    <mergeCell ref="L77:L79"/>
    <mergeCell ref="L50:L52"/>
    <mergeCell ref="L53:L55"/>
    <mergeCell ref="L56:L58"/>
    <mergeCell ref="L59:L61"/>
    <mergeCell ref="L62:L64"/>
    <mergeCell ref="L35:L37"/>
    <mergeCell ref="L38:L40"/>
    <mergeCell ref="L41:L43"/>
    <mergeCell ref="L44:L46"/>
    <mergeCell ref="L47:L49"/>
    <mergeCell ref="M5:M7"/>
    <mergeCell ref="M8:M10"/>
    <mergeCell ref="M11:M13"/>
    <mergeCell ref="M14:M16"/>
    <mergeCell ref="M17:M19"/>
    <mergeCell ref="M20:M22"/>
    <mergeCell ref="M23:M25"/>
    <mergeCell ref="M26:M28"/>
    <mergeCell ref="M29:M31"/>
    <mergeCell ref="M71:M73"/>
    <mergeCell ref="M74:M76"/>
    <mergeCell ref="M47:M49"/>
    <mergeCell ref="M50:M52"/>
    <mergeCell ref="M53:M55"/>
    <mergeCell ref="M56:M58"/>
    <mergeCell ref="M59:M61"/>
    <mergeCell ref="L95:L97"/>
    <mergeCell ref="L98:L100"/>
    <mergeCell ref="L92:L94"/>
    <mergeCell ref="M92:M94"/>
    <mergeCell ref="M95:M97"/>
    <mergeCell ref="M98:M100"/>
    <mergeCell ref="N5:N7"/>
    <mergeCell ref="N8:N10"/>
    <mergeCell ref="N11:N13"/>
    <mergeCell ref="N14:N16"/>
    <mergeCell ref="N17:N19"/>
    <mergeCell ref="N20:N22"/>
    <mergeCell ref="N23:N25"/>
    <mergeCell ref="N26:N28"/>
    <mergeCell ref="N29:N31"/>
    <mergeCell ref="N32:N34"/>
    <mergeCell ref="N35:N37"/>
    <mergeCell ref="N38:N40"/>
    <mergeCell ref="N41:N43"/>
    <mergeCell ref="M77:M79"/>
    <mergeCell ref="M80:M82"/>
    <mergeCell ref="M83:M85"/>
    <mergeCell ref="M86:M88"/>
    <mergeCell ref="M89:M91"/>
    <mergeCell ref="M62:M64"/>
    <mergeCell ref="M65:M67"/>
    <mergeCell ref="M68:M70"/>
    <mergeCell ref="N59:N61"/>
    <mergeCell ref="N62:N64"/>
    <mergeCell ref="N65:N67"/>
    <mergeCell ref="N68:N70"/>
    <mergeCell ref="N71:N73"/>
    <mergeCell ref="N44:N46"/>
    <mergeCell ref="N47:N49"/>
    <mergeCell ref="N50:N52"/>
    <mergeCell ref="N53:N55"/>
    <mergeCell ref="N56:N58"/>
    <mergeCell ref="N89:N91"/>
    <mergeCell ref="N92:N94"/>
    <mergeCell ref="N95:N97"/>
    <mergeCell ref="N98:N100"/>
    <mergeCell ref="N74:N76"/>
    <mergeCell ref="N77:N79"/>
    <mergeCell ref="N80:N82"/>
    <mergeCell ref="N83:N85"/>
    <mergeCell ref="N86:N88"/>
  </mergeCells>
  <pageMargins left="0.7" right="0.7" top="0.75" bottom="0.75" header="0.3" footer="0.3"/>
  <pageSetup scale="2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view="pageBreakPreview" zoomScaleNormal="100" zoomScaleSheetLayoutView="100" workbookViewId="0">
      <selection activeCell="B5" sqref="B5"/>
    </sheetView>
  </sheetViews>
  <sheetFormatPr defaultRowHeight="15" x14ac:dyDescent="0.25"/>
  <cols>
    <col min="1" max="1" width="5.7109375" style="23" bestFit="1" customWidth="1"/>
    <col min="2" max="2" width="50.42578125" style="23" bestFit="1" customWidth="1"/>
    <col min="3" max="3" width="3.5703125" style="23" bestFit="1" customWidth="1"/>
    <col min="4" max="4" width="4.28515625" style="23" bestFit="1" customWidth="1"/>
    <col min="5" max="11" width="3.85546875" style="23" bestFit="1" customWidth="1"/>
    <col min="12" max="22" width="4.85546875" style="23" bestFit="1" customWidth="1"/>
    <col min="23" max="23" width="4.5703125" style="23" bestFit="1" customWidth="1"/>
    <col min="24" max="24" width="5.28515625" style="23" bestFit="1" customWidth="1"/>
    <col min="25" max="32" width="4.85546875" style="23" bestFit="1" customWidth="1"/>
    <col min="33" max="33" width="4.5703125" style="23" bestFit="1" customWidth="1"/>
    <col min="34" max="34" width="5.28515625" style="23" bestFit="1" customWidth="1"/>
    <col min="35" max="35" width="47.28515625" style="25" bestFit="1" customWidth="1"/>
    <col min="36" max="16384" width="9.140625" style="23"/>
  </cols>
  <sheetData>
    <row r="1" spans="1:35" ht="25.5" customHeight="1" x14ac:dyDescent="0.25">
      <c r="A1" s="93" t="s">
        <v>336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5"/>
    </row>
    <row r="2" spans="1:35" s="24" customFormat="1" ht="25.5" customHeight="1" x14ac:dyDescent="0.25">
      <c r="A2" s="37" t="s">
        <v>270</v>
      </c>
      <c r="B2" s="27" t="s">
        <v>271</v>
      </c>
      <c r="C2" s="92" t="s">
        <v>245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44" t="s">
        <v>324</v>
      </c>
    </row>
    <row r="3" spans="1:35" s="24" customFormat="1" x14ac:dyDescent="0.25">
      <c r="A3" s="37" t="s">
        <v>284</v>
      </c>
      <c r="B3" s="28" t="s">
        <v>277</v>
      </c>
      <c r="C3" s="27" t="s">
        <v>287</v>
      </c>
      <c r="D3" s="27" t="s">
        <v>288</v>
      </c>
      <c r="E3" s="27" t="s">
        <v>289</v>
      </c>
      <c r="F3" s="27" t="s">
        <v>290</v>
      </c>
      <c r="G3" s="27" t="s">
        <v>291</v>
      </c>
      <c r="H3" s="27" t="s">
        <v>292</v>
      </c>
      <c r="I3" s="27" t="s">
        <v>293</v>
      </c>
      <c r="J3" s="27" t="s">
        <v>294</v>
      </c>
      <c r="K3" s="27" t="s">
        <v>295</v>
      </c>
      <c r="L3" s="27" t="s">
        <v>296</v>
      </c>
      <c r="M3" s="27" t="s">
        <v>297</v>
      </c>
      <c r="N3" s="27" t="s">
        <v>298</v>
      </c>
      <c r="O3" s="27" t="s">
        <v>299</v>
      </c>
      <c r="P3" s="27" t="s">
        <v>300</v>
      </c>
      <c r="Q3" s="27" t="s">
        <v>301</v>
      </c>
      <c r="R3" s="27" t="s">
        <v>302</v>
      </c>
      <c r="S3" s="27" t="s">
        <v>303</v>
      </c>
      <c r="T3" s="27" t="s">
        <v>304</v>
      </c>
      <c r="U3" s="27" t="s">
        <v>305</v>
      </c>
      <c r="V3" s="27" t="s">
        <v>306</v>
      </c>
      <c r="W3" s="27" t="s">
        <v>307</v>
      </c>
      <c r="X3" s="27" t="s">
        <v>308</v>
      </c>
      <c r="Y3" s="27" t="s">
        <v>309</v>
      </c>
      <c r="Z3" s="27" t="s">
        <v>310</v>
      </c>
      <c r="AA3" s="27" t="s">
        <v>311</v>
      </c>
      <c r="AB3" s="27" t="s">
        <v>312</v>
      </c>
      <c r="AC3" s="27" t="s">
        <v>313</v>
      </c>
      <c r="AD3" s="27" t="s">
        <v>314</v>
      </c>
      <c r="AE3" s="27" t="s">
        <v>315</v>
      </c>
      <c r="AF3" s="27" t="s">
        <v>316</v>
      </c>
      <c r="AG3" s="27" t="s">
        <v>317</v>
      </c>
      <c r="AH3" s="27" t="s">
        <v>318</v>
      </c>
      <c r="AI3" s="38" t="s">
        <v>331</v>
      </c>
    </row>
    <row r="4" spans="1:35" ht="25.5" customHeight="1" x14ac:dyDescent="0.25">
      <c r="A4" s="35">
        <v>1</v>
      </c>
      <c r="B4" s="29" t="s">
        <v>272</v>
      </c>
      <c r="C4" s="26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51"/>
      <c r="Q4" s="51"/>
      <c r="R4" s="51"/>
      <c r="S4" s="51"/>
      <c r="T4" s="51"/>
      <c r="U4" s="52"/>
      <c r="V4" s="52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39" t="s">
        <v>331</v>
      </c>
    </row>
    <row r="5" spans="1:35" ht="25.5" customHeight="1" x14ac:dyDescent="0.25">
      <c r="A5" s="35">
        <v>2</v>
      </c>
      <c r="B5" s="29" t="s">
        <v>274</v>
      </c>
      <c r="C5" s="26"/>
      <c r="D5" s="30"/>
      <c r="E5" s="30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39" t="s">
        <v>325</v>
      </c>
    </row>
    <row r="6" spans="1:35" ht="25.5" customHeight="1" x14ac:dyDescent="0.25">
      <c r="A6" s="35">
        <v>3</v>
      </c>
      <c r="B6" s="29" t="s">
        <v>275</v>
      </c>
      <c r="C6" s="26"/>
      <c r="D6" s="30"/>
      <c r="E6" s="30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39" t="s">
        <v>326</v>
      </c>
    </row>
    <row r="7" spans="1:35" s="24" customFormat="1" ht="25.5" customHeight="1" x14ac:dyDescent="0.25">
      <c r="A7" s="35">
        <v>4</v>
      </c>
      <c r="B7" s="29" t="s">
        <v>276</v>
      </c>
      <c r="C7" s="27"/>
      <c r="D7" s="31"/>
      <c r="E7" s="31"/>
      <c r="F7" s="31"/>
      <c r="G7" s="31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45" t="s">
        <v>327</v>
      </c>
    </row>
    <row r="8" spans="1:35" s="24" customFormat="1" ht="25.5" customHeight="1" x14ac:dyDescent="0.25">
      <c r="A8" s="35">
        <v>5</v>
      </c>
      <c r="B8" s="29" t="s">
        <v>338</v>
      </c>
      <c r="C8" s="49"/>
      <c r="D8" s="50"/>
      <c r="E8" s="50"/>
      <c r="F8" s="50"/>
      <c r="G8" s="50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5" t="s">
        <v>331</v>
      </c>
    </row>
    <row r="9" spans="1:35" ht="25.5" customHeight="1" thickBot="1" x14ac:dyDescent="0.3">
      <c r="A9" s="35">
        <v>6</v>
      </c>
      <c r="B9" s="29" t="s">
        <v>273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9" t="s">
        <v>323</v>
      </c>
    </row>
    <row r="10" spans="1:35" s="24" customFormat="1" x14ac:dyDescent="0.25">
      <c r="A10" s="37" t="s">
        <v>283</v>
      </c>
      <c r="B10" s="32" t="s">
        <v>278</v>
      </c>
      <c r="C10" s="93" t="s">
        <v>320</v>
      </c>
      <c r="D10" s="94"/>
      <c r="E10" s="94"/>
      <c r="F10" s="94"/>
      <c r="G10" s="94"/>
      <c r="H10" s="94"/>
      <c r="I10" s="94"/>
      <c r="J10" s="95"/>
      <c r="K10" s="93" t="s">
        <v>319</v>
      </c>
      <c r="L10" s="94"/>
      <c r="M10" s="94"/>
      <c r="N10" s="94"/>
      <c r="O10" s="94"/>
      <c r="P10" s="94"/>
      <c r="Q10" s="94"/>
      <c r="R10" s="95"/>
      <c r="S10" s="93" t="s">
        <v>321</v>
      </c>
      <c r="T10" s="94"/>
      <c r="U10" s="94"/>
      <c r="V10" s="94"/>
      <c r="W10" s="94"/>
      <c r="X10" s="94"/>
      <c r="Y10" s="94"/>
      <c r="Z10" s="95"/>
      <c r="AA10" s="93" t="s">
        <v>322</v>
      </c>
      <c r="AB10" s="94"/>
      <c r="AC10" s="94"/>
      <c r="AD10" s="94"/>
      <c r="AE10" s="94"/>
      <c r="AF10" s="94"/>
      <c r="AG10" s="94"/>
      <c r="AH10" s="95"/>
      <c r="AI10" s="40"/>
    </row>
    <row r="11" spans="1:35" ht="25.5" customHeight="1" x14ac:dyDescent="0.25">
      <c r="A11" s="35">
        <f>A9+1</f>
        <v>7</v>
      </c>
      <c r="B11" s="33" t="s">
        <v>279</v>
      </c>
      <c r="C11" s="89"/>
      <c r="D11" s="90"/>
      <c r="E11" s="90"/>
      <c r="F11" s="90"/>
      <c r="G11" s="90"/>
      <c r="H11" s="90"/>
      <c r="I11" s="90"/>
      <c r="J11" s="91"/>
      <c r="K11" s="89" t="s">
        <v>331</v>
      </c>
      <c r="L11" s="90"/>
      <c r="M11" s="90"/>
      <c r="N11" s="90"/>
      <c r="O11" s="90"/>
      <c r="P11" s="90"/>
      <c r="Q11" s="90"/>
      <c r="R11" s="91"/>
      <c r="S11" s="89" t="s">
        <v>331</v>
      </c>
      <c r="T11" s="90"/>
      <c r="U11" s="90"/>
      <c r="V11" s="90"/>
      <c r="W11" s="90"/>
      <c r="X11" s="90"/>
      <c r="Y11" s="90"/>
      <c r="Z11" s="91"/>
      <c r="AA11" s="89" t="s">
        <v>331</v>
      </c>
      <c r="AB11" s="90"/>
      <c r="AC11" s="90"/>
      <c r="AD11" s="90"/>
      <c r="AE11" s="90"/>
      <c r="AF11" s="90"/>
      <c r="AG11" s="90"/>
      <c r="AH11" s="91"/>
      <c r="AI11" s="41" t="s">
        <v>339</v>
      </c>
    </row>
    <row r="12" spans="1:35" ht="25.5" customHeight="1" x14ac:dyDescent="0.25">
      <c r="A12" s="35">
        <v>8</v>
      </c>
      <c r="B12" s="33" t="s">
        <v>280</v>
      </c>
      <c r="C12" s="89" t="s">
        <v>331</v>
      </c>
      <c r="D12" s="90"/>
      <c r="E12" s="90"/>
      <c r="F12" s="90"/>
      <c r="G12" s="90"/>
      <c r="H12" s="90"/>
      <c r="I12" s="90"/>
      <c r="J12" s="91"/>
      <c r="K12" s="89"/>
      <c r="L12" s="90"/>
      <c r="M12" s="90"/>
      <c r="N12" s="90"/>
      <c r="O12" s="90"/>
      <c r="P12" s="90"/>
      <c r="Q12" s="90"/>
      <c r="R12" s="91"/>
      <c r="S12" s="89"/>
      <c r="T12" s="90"/>
      <c r="U12" s="90"/>
      <c r="V12" s="90"/>
      <c r="W12" s="90"/>
      <c r="X12" s="90"/>
      <c r="Y12" s="90"/>
      <c r="Z12" s="91"/>
      <c r="AA12" s="89"/>
      <c r="AB12" s="90"/>
      <c r="AC12" s="90"/>
      <c r="AD12" s="90"/>
      <c r="AE12" s="90"/>
      <c r="AF12" s="90"/>
      <c r="AG12" s="90"/>
      <c r="AH12" s="91"/>
      <c r="AI12" s="41" t="s">
        <v>337</v>
      </c>
    </row>
    <row r="13" spans="1:35" ht="25.5" customHeight="1" x14ac:dyDescent="0.25">
      <c r="A13" s="35">
        <v>9</v>
      </c>
      <c r="B13" s="33" t="s">
        <v>281</v>
      </c>
      <c r="C13" s="89" t="s">
        <v>331</v>
      </c>
      <c r="D13" s="90"/>
      <c r="E13" s="90"/>
      <c r="F13" s="90"/>
      <c r="G13" s="90"/>
      <c r="H13" s="90"/>
      <c r="I13" s="90"/>
      <c r="J13" s="91"/>
      <c r="K13" s="89"/>
      <c r="L13" s="90"/>
      <c r="M13" s="90"/>
      <c r="N13" s="90"/>
      <c r="O13" s="90"/>
      <c r="P13" s="90"/>
      <c r="Q13" s="90"/>
      <c r="R13" s="91"/>
      <c r="S13" s="89"/>
      <c r="T13" s="90"/>
      <c r="U13" s="90"/>
      <c r="V13" s="90"/>
      <c r="W13" s="90"/>
      <c r="X13" s="90"/>
      <c r="Y13" s="90"/>
      <c r="Z13" s="91"/>
      <c r="AA13" s="89"/>
      <c r="AB13" s="90"/>
      <c r="AC13" s="90"/>
      <c r="AD13" s="90"/>
      <c r="AE13" s="90"/>
      <c r="AF13" s="90"/>
      <c r="AG13" s="90"/>
      <c r="AH13" s="91"/>
      <c r="AI13" s="41" t="s">
        <v>328</v>
      </c>
    </row>
    <row r="14" spans="1:35" ht="25.5" customHeight="1" x14ac:dyDescent="0.25">
      <c r="A14" s="35">
        <v>10</v>
      </c>
      <c r="B14" s="33" t="s">
        <v>282</v>
      </c>
      <c r="C14" s="89" t="s">
        <v>331</v>
      </c>
      <c r="D14" s="90"/>
      <c r="E14" s="90"/>
      <c r="F14" s="90"/>
      <c r="G14" s="90"/>
      <c r="H14" s="90"/>
      <c r="I14" s="90"/>
      <c r="J14" s="91"/>
      <c r="K14" s="89"/>
      <c r="L14" s="90"/>
      <c r="M14" s="90"/>
      <c r="N14" s="90"/>
      <c r="O14" s="90"/>
      <c r="P14" s="90"/>
      <c r="Q14" s="90"/>
      <c r="R14" s="91"/>
      <c r="S14" s="89"/>
      <c r="T14" s="90"/>
      <c r="U14" s="90"/>
      <c r="V14" s="90"/>
      <c r="W14" s="90"/>
      <c r="X14" s="90"/>
      <c r="Y14" s="90"/>
      <c r="Z14" s="91"/>
      <c r="AA14" s="89"/>
      <c r="AB14" s="90"/>
      <c r="AC14" s="90"/>
      <c r="AD14" s="90"/>
      <c r="AE14" s="90"/>
      <c r="AF14" s="90"/>
      <c r="AG14" s="90"/>
      <c r="AH14" s="91"/>
      <c r="AI14" s="41" t="s">
        <v>333</v>
      </c>
    </row>
    <row r="15" spans="1:35" ht="25.5" customHeight="1" x14ac:dyDescent="0.25">
      <c r="A15" s="35">
        <v>11</v>
      </c>
      <c r="B15" s="33" t="s">
        <v>285</v>
      </c>
      <c r="C15" s="89" t="s">
        <v>331</v>
      </c>
      <c r="D15" s="90"/>
      <c r="E15" s="90"/>
      <c r="F15" s="90"/>
      <c r="G15" s="90"/>
      <c r="H15" s="90"/>
      <c r="I15" s="90"/>
      <c r="J15" s="91"/>
      <c r="K15" s="89"/>
      <c r="L15" s="90"/>
      <c r="M15" s="90"/>
      <c r="N15" s="90"/>
      <c r="O15" s="90"/>
      <c r="P15" s="90"/>
      <c r="Q15" s="90"/>
      <c r="R15" s="91"/>
      <c r="S15" s="89"/>
      <c r="T15" s="90"/>
      <c r="U15" s="90"/>
      <c r="V15" s="90"/>
      <c r="W15" s="90"/>
      <c r="X15" s="90"/>
      <c r="Y15" s="90"/>
      <c r="Z15" s="91"/>
      <c r="AA15" s="89"/>
      <c r="AB15" s="90"/>
      <c r="AC15" s="90"/>
      <c r="AD15" s="90"/>
      <c r="AE15" s="90"/>
      <c r="AF15" s="90"/>
      <c r="AG15" s="90"/>
      <c r="AH15" s="91"/>
      <c r="AI15" s="41" t="s">
        <v>331</v>
      </c>
    </row>
    <row r="16" spans="1:35" ht="25.5" customHeight="1" x14ac:dyDescent="0.25">
      <c r="A16" s="46">
        <v>12</v>
      </c>
      <c r="B16" s="47" t="s">
        <v>286</v>
      </c>
      <c r="C16" s="89" t="s">
        <v>331</v>
      </c>
      <c r="D16" s="90"/>
      <c r="E16" s="90"/>
      <c r="F16" s="90"/>
      <c r="G16" s="90"/>
      <c r="H16" s="90"/>
      <c r="I16" s="90"/>
      <c r="J16" s="91"/>
      <c r="K16" s="89"/>
      <c r="L16" s="90"/>
      <c r="M16" s="90"/>
      <c r="N16" s="90"/>
      <c r="O16" s="90"/>
      <c r="P16" s="90"/>
      <c r="Q16" s="90"/>
      <c r="R16" s="91"/>
      <c r="S16" s="89"/>
      <c r="T16" s="90"/>
      <c r="U16" s="90"/>
      <c r="V16" s="90"/>
      <c r="W16" s="90"/>
      <c r="X16" s="90"/>
      <c r="Y16" s="90"/>
      <c r="Z16" s="91"/>
      <c r="AA16" s="89"/>
      <c r="AB16" s="90"/>
      <c r="AC16" s="90"/>
      <c r="AD16" s="90"/>
      <c r="AE16" s="90"/>
      <c r="AF16" s="90"/>
      <c r="AG16" s="90"/>
      <c r="AH16" s="91"/>
      <c r="AI16" s="48" t="s">
        <v>332</v>
      </c>
    </row>
    <row r="17" spans="1:35" ht="25.5" customHeight="1" x14ac:dyDescent="0.25">
      <c r="A17" s="46">
        <v>13</v>
      </c>
      <c r="B17" s="47" t="s">
        <v>334</v>
      </c>
      <c r="C17" s="89" t="s">
        <v>331</v>
      </c>
      <c r="D17" s="90"/>
      <c r="E17" s="90"/>
      <c r="F17" s="90"/>
      <c r="G17" s="90"/>
      <c r="H17" s="90"/>
      <c r="I17" s="90"/>
      <c r="J17" s="91"/>
      <c r="K17" s="89"/>
      <c r="L17" s="90"/>
      <c r="M17" s="90"/>
      <c r="N17" s="90"/>
      <c r="O17" s="90"/>
      <c r="P17" s="90"/>
      <c r="Q17" s="90"/>
      <c r="R17" s="91"/>
      <c r="S17" s="89"/>
      <c r="T17" s="90"/>
      <c r="U17" s="90"/>
      <c r="V17" s="90"/>
      <c r="W17" s="90"/>
      <c r="X17" s="90"/>
      <c r="Y17" s="90"/>
      <c r="Z17" s="91"/>
      <c r="AA17" s="89"/>
      <c r="AB17" s="90"/>
      <c r="AC17" s="90"/>
      <c r="AD17" s="90"/>
      <c r="AE17" s="90"/>
      <c r="AF17" s="90"/>
      <c r="AG17" s="90"/>
      <c r="AH17" s="91"/>
      <c r="AI17" s="48" t="s">
        <v>335</v>
      </c>
    </row>
    <row r="18" spans="1:35" ht="25.5" customHeight="1" thickBot="1" x14ac:dyDescent="0.3">
      <c r="A18" s="36">
        <v>14</v>
      </c>
      <c r="B18" s="42" t="s">
        <v>329</v>
      </c>
      <c r="C18" s="89" t="s">
        <v>331</v>
      </c>
      <c r="D18" s="90"/>
      <c r="E18" s="90"/>
      <c r="F18" s="90"/>
      <c r="G18" s="90"/>
      <c r="H18" s="90"/>
      <c r="I18" s="90"/>
      <c r="J18" s="91"/>
      <c r="K18" s="89"/>
      <c r="L18" s="90"/>
      <c r="M18" s="90"/>
      <c r="N18" s="90"/>
      <c r="O18" s="90"/>
      <c r="P18" s="90"/>
      <c r="Q18" s="90"/>
      <c r="R18" s="91"/>
      <c r="S18" s="89"/>
      <c r="T18" s="90"/>
      <c r="U18" s="90"/>
      <c r="V18" s="90"/>
      <c r="W18" s="90"/>
      <c r="X18" s="90"/>
      <c r="Y18" s="90"/>
      <c r="Z18" s="91"/>
      <c r="AA18" s="89"/>
      <c r="AB18" s="90"/>
      <c r="AC18" s="90"/>
      <c r="AD18" s="90"/>
      <c r="AE18" s="90"/>
      <c r="AF18" s="90"/>
      <c r="AG18" s="90"/>
      <c r="AH18" s="91"/>
      <c r="AI18" s="43" t="s">
        <v>330</v>
      </c>
    </row>
  </sheetData>
  <mergeCells count="38">
    <mergeCell ref="AA18:AH18"/>
    <mergeCell ref="K17:R17"/>
    <mergeCell ref="K18:R18"/>
    <mergeCell ref="S16:Z16"/>
    <mergeCell ref="S17:Z17"/>
    <mergeCell ref="S18:Z18"/>
    <mergeCell ref="S14:Z14"/>
    <mergeCell ref="S15:Z15"/>
    <mergeCell ref="AA15:AH15"/>
    <mergeCell ref="AA16:AH16"/>
    <mergeCell ref="AA17:AH17"/>
    <mergeCell ref="AA14:AH14"/>
    <mergeCell ref="C15:J15"/>
    <mergeCell ref="C16:J16"/>
    <mergeCell ref="C17:J17"/>
    <mergeCell ref="C18:J18"/>
    <mergeCell ref="K11:R11"/>
    <mergeCell ref="K12:R12"/>
    <mergeCell ref="K13:R13"/>
    <mergeCell ref="K14:R14"/>
    <mergeCell ref="K15:R15"/>
    <mergeCell ref="K16:R16"/>
    <mergeCell ref="C14:J14"/>
    <mergeCell ref="C11:J11"/>
    <mergeCell ref="C12:J12"/>
    <mergeCell ref="C13:J13"/>
    <mergeCell ref="C2:AH2"/>
    <mergeCell ref="A1:AI1"/>
    <mergeCell ref="C10:J10"/>
    <mergeCell ref="K10:R10"/>
    <mergeCell ref="S10:Z10"/>
    <mergeCell ref="AA10:AH10"/>
    <mergeCell ref="AA11:AH11"/>
    <mergeCell ref="AA12:AH12"/>
    <mergeCell ref="AA13:AH13"/>
    <mergeCell ref="S11:Z11"/>
    <mergeCell ref="S12:Z12"/>
    <mergeCell ref="S13:Z13"/>
  </mergeCells>
  <pageMargins left="0.7" right="0.7" top="0.75" bottom="0.75" header="0.3" footer="0.3"/>
  <pageSetup scale="3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"/>
  <sheetViews>
    <sheetView workbookViewId="0">
      <selection activeCell="B3" sqref="B3"/>
    </sheetView>
  </sheetViews>
  <sheetFormatPr defaultRowHeight="15" x14ac:dyDescent="0.25"/>
  <cols>
    <col min="2" max="2" width="66.85546875" customWidth="1"/>
  </cols>
  <sheetData>
    <row r="1" spans="2:2" x14ac:dyDescent="0.25">
      <c r="B1" t="s">
        <v>341</v>
      </c>
    </row>
    <row r="2" spans="2:2" x14ac:dyDescent="0.25">
      <c r="B2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DLR-1</vt:lpstr>
      <vt:lpstr>Finishings Tracker</vt:lpstr>
      <vt:lpstr>Clearances</vt:lpstr>
      <vt:lpstr>Sheet1</vt:lpstr>
      <vt:lpstr>Clearances!Print_Area</vt:lpstr>
      <vt:lpstr>'DLR-1'!Print_Area</vt:lpstr>
      <vt:lpstr>'Finishings Tracker'!Print_Area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Valki</dc:creator>
  <cp:lastModifiedBy>user</cp:lastModifiedBy>
  <dcterms:created xsi:type="dcterms:W3CDTF">2025-11-27T04:21:03Z</dcterms:created>
  <dcterms:modified xsi:type="dcterms:W3CDTF">2026-03-25T17:39:22Z</dcterms:modified>
</cp:coreProperties>
</file>